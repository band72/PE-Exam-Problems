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Overview" sheetId="1" state="visible" r:id="rId1"/>
    <sheet xmlns:r="http://schemas.openxmlformats.org/officeDocument/2006/relationships" name="Retaining Walls" sheetId="2" state="visible" r:id="rId2"/>
    <sheet xmlns:r="http://schemas.openxmlformats.org/officeDocument/2006/relationships" name="Ponds &amp; Storage" sheetId="3" state="visible" r:id="rId3"/>
    <sheet xmlns:r="http://schemas.openxmlformats.org/officeDocument/2006/relationships" name="Mounding (Hantush)" sheetId="4" state="visible" r:id="rId4"/>
    <sheet xmlns:r="http://schemas.openxmlformats.org/officeDocument/2006/relationships" name="Roads &amp; Geometrics" sheetId="5" state="visible" r:id="rId5"/>
    <sheet xmlns:r="http://schemas.openxmlformats.org/officeDocument/2006/relationships" name="Plats &amp; Boundary (Rules 1-2)" sheetId="6" state="visible" r:id="rId6"/>
    <sheet xmlns:r="http://schemas.openxmlformats.org/officeDocument/2006/relationships" name="Lift Stations &amp; Sewer" sheetId="7" state="visible" r:id="rId7"/>
    <sheet xmlns:r="http://schemas.openxmlformats.org/officeDocument/2006/relationships" name="Drainage &amp; Culverts" sheetId="8" state="visible" r:id="rId8"/>
    <sheet xmlns:r="http://schemas.openxmlformats.org/officeDocument/2006/relationships" name="Piles &amp; Foundations" sheetId="9" state="visible" r:id="rId9"/>
    <sheet xmlns:r="http://schemas.openxmlformats.org/officeDocument/2006/relationships" name="Slabs - Westergaard SOG" sheetId="10" state="visible" r:id="rId10"/>
    <sheet xmlns:r="http://schemas.openxmlformats.org/officeDocument/2006/relationships" name="Slabs - ACI 318 DDM" sheetId="11" state="visible" r:id="rId11"/>
    <sheet xmlns:r="http://schemas.openxmlformats.org/officeDocument/2006/relationships" name="Slabs - ACI 318 EFM" sheetId="12" state="visible" r:id="rId12"/>
    <sheet xmlns:r="http://schemas.openxmlformats.org/officeDocument/2006/relationships" name="Slabs - Yield Line Theory" sheetId="13" state="visible" r:id="rId13"/>
    <sheet xmlns:r="http://schemas.openxmlformats.org/officeDocument/2006/relationships" name="Slabs - Hillerborg Strip" sheetId="14" state="visible" r:id="rId14"/>
    <sheet xmlns:r="http://schemas.openxmlformats.org/officeDocument/2006/relationships" name="Slabs - Punching Shear" sheetId="15" state="visible" r:id="rId15"/>
    <sheet xmlns:r="http://schemas.openxmlformats.org/officeDocument/2006/relationships" name="Slope Stability" sheetId="16" state="visible" r:id="rId16"/>
    <sheet xmlns:r="http://schemas.openxmlformats.org/officeDocument/2006/relationships" name="Weirs &amp; Dams" sheetId="17" state="visible" r:id="rId17"/>
    <sheet xmlns:r="http://schemas.openxmlformats.org/officeDocument/2006/relationships" name="50x50 Slab &amp; Helical Piles" sheetId="18" state="visible" r:id="rId18"/>
    <sheet xmlns:r="http://schemas.openxmlformats.org/officeDocument/2006/relationships" name="NPSH &amp; Pump Cavitation" sheetId="19" state="visible" r:id="rId19"/>
    <sheet xmlns:r="http://schemas.openxmlformats.org/officeDocument/2006/relationships" name="Stormwater &amp; TR-55 C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#,##0.0"/>
    <numFmt numFmtId="166" formatCode="0.0000"/>
    <numFmt numFmtId="167" formatCode="0.000"/>
    <numFmt numFmtId="168" formatCode="0.000000"/>
    <numFmt numFmtId="169" formatCode="0.0000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0" borderId="1" pivotButton="0" quotePrefix="0" xfId="0"/>
    <xf numFmtId="0" fontId="5" fillId="6" borderId="1" pivotButton="0" quotePrefix="0" xfId="0"/>
    <xf numFmtId="0" fontId="7" fillId="7" borderId="1" pivotButton="0" quotePrefix="0" xfId="0"/>
    <xf numFmtId="0" fontId="8" fillId="8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2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2" fontId="7" fillId="7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2" fontId="7" fillId="7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center" vertical="center"/>
    </xf>
    <xf numFmtId="167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1" fontId="5" fillId="6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93" customWidth="1" min="2" max="2"/>
    <col width="52" customWidth="1" min="3" max="3"/>
    <col width="153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SOLVEDIN6 • MASTER CIVIL ENGINEERING COMPANION WORKBOOK</t>
        </is>
      </c>
    </row>
    <row r="2" ht="18" customHeight="1">
      <c r="A2" s="2" t="inlineStr">
        <is>
          <t>Comprehensive Engineering Design Solvers • NCEES PE Reference Handbook, ACI 318, AASHTO, FHWA, USDA TR-55</t>
        </is>
      </c>
    </row>
    <row r="3" ht="10" customHeight="1"/>
    <row r="4" ht="24" customHeight="1">
      <c r="A4" s="3" t="inlineStr">
        <is>
          <t>1. WORKBOOK NAVIGATION &amp; MODULE DIRECTORY (20 WORKSHEETS)</t>
        </is>
      </c>
    </row>
    <row r="5" ht="22" customHeight="1">
      <c r="A5" s="4" t="inlineStr">
        <is>
          <t>Sheet Name</t>
        </is>
      </c>
      <c r="B5" s="4" t="inlineStr">
        <is>
          <t>Discipline / Domain</t>
        </is>
      </c>
      <c r="C5" s="4" t="inlineStr">
        <is>
          <t>NCEES &amp; Standard References</t>
        </is>
      </c>
      <c r="D5" s="4" t="inlineStr">
        <is>
          <t>Scope &amp; Engineering Capabilities</t>
        </is>
      </c>
    </row>
    <row r="6" ht="20" customHeight="1">
      <c r="A6" s="5" t="inlineStr">
        <is>
          <t>Retaining Walls</t>
        </is>
      </c>
      <c r="B6" s="6" t="inlineStr">
        <is>
          <t>Geotechnical &amp; Structural</t>
        </is>
      </c>
      <c r="C6" s="6" t="inlineStr">
        <is>
          <t>NCEES § 6.2.2 • Coulomb / Rankine</t>
        </is>
      </c>
      <c r="D6" s="6" t="inlineStr">
        <is>
          <t>Cantilever &amp; gravity walls, lateral earth thrust, traffic surcharge, overturning, sliding, bearing, eccentricity e &lt;= B/6</t>
        </is>
      </c>
    </row>
    <row r="7" ht="20" customHeight="1">
      <c r="A7" s="5" t="inlineStr">
        <is>
          <t>Ponds &amp; Storage</t>
        </is>
      </c>
      <c r="B7" s="6" t="inlineStr">
        <is>
          <t>Water Resources &amp; Hydrology</t>
        </is>
      </c>
      <c r="C7" s="6" t="inlineStr">
        <is>
          <t>NCEES § 6.3.3 • Rational &amp; Conic Stage-Storage</t>
        </is>
      </c>
      <c r="D7" s="6" t="inlineStr">
        <is>
          <t>Retention/detention basin sizing, stage-storage frustum volume, low-flow drawdown orifice sizing, freeboard verification</t>
        </is>
      </c>
    </row>
    <row r="8" ht="20" customHeight="1">
      <c r="A8" s="5" t="inlineStr">
        <is>
          <t>Mounding (Hantush)</t>
        </is>
      </c>
      <c r="B8" s="6" t="inlineStr">
        <is>
          <t>Hydrogeology &amp; Groundwater</t>
        </is>
      </c>
      <c r="C8" s="6" t="inlineStr">
        <is>
          <t>USGS Paper 948 • Hantush Analytical Model</t>
        </is>
      </c>
      <c r="D8" s="6" t="inlineStr">
        <is>
          <t>Groundwater mounding under recharge basins &amp; septic drainfields, Sy, K, initial saturated depth D, SHWT buffer check</t>
        </is>
      </c>
    </row>
    <row r="9" ht="20" customHeight="1">
      <c r="A9" s="5" t="inlineStr">
        <is>
          <t>Roads &amp; Geometrics</t>
        </is>
      </c>
      <c r="B9" s="6" t="inlineStr">
        <is>
          <t>Transportation &amp; Highway</t>
        </is>
      </c>
      <c r="C9" s="6" t="inlineStr">
        <is>
          <t>AASHTO Green Book 7th Ed. • AASHTO 1993</t>
        </is>
      </c>
      <c r="D9" s="6" t="inlineStr">
        <is>
          <t>Horizontal curves R, Dc, T, L, E, M; Stopping Sight Distance SSD; Crest/Sag vertical curves; Pavement Structural Number SN</t>
        </is>
      </c>
    </row>
    <row r="10" ht="20" customHeight="1">
      <c r="A10" s="5" t="inlineStr">
        <is>
          <t>Plats &amp; Boundary (Rules 1-2)</t>
        </is>
      </c>
      <c r="B10" s="6" t="inlineStr">
        <is>
          <t>Surveying &amp; Land Development</t>
        </is>
      </c>
      <c r="C10" s="6" t="inlineStr">
        <is>
          <t>Florida Admin Code 5J-17 • Boundary Law</t>
        </is>
      </c>
      <c r="D10" s="6" t="inlineStr">
        <is>
          <t>Rule 1 Ground-Truthed WGS84 GPS natural coordinates; Rule 2 P.I. angle bar glyphs, tangent cut-back T = R*tan(Delta/2), fillet deduction</t>
        </is>
      </c>
    </row>
    <row r="11" ht="20" customHeight="1">
      <c r="A11" s="5" t="inlineStr">
        <is>
          <t>Lift Stations &amp; Sewer</t>
        </is>
      </c>
      <c r="B11" s="6" t="inlineStr">
        <is>
          <t>Wastewater &amp; Hydraulics</t>
        </is>
      </c>
      <c r="C11" s="6" t="inlineStr">
        <is>
          <t>10-States Standards § 30 &amp; § 40 • Hydraulic Inst.</t>
        </is>
      </c>
      <c r="D11" s="6" t="inlineStr">
        <is>
          <t>Gravity sewer Manning flow (V &gt;= 2 fps scouring); Wet well active volume V_act = T_min*Q_p/4; Duplex/Triplex N-1 capacity; Force main TDH &amp; BHP</t>
        </is>
      </c>
    </row>
    <row r="12" ht="20" customHeight="1">
      <c r="A12" s="5" t="inlineStr">
        <is>
          <t>Drainage &amp; Culverts</t>
        </is>
      </c>
      <c r="B12" s="6" t="inlineStr">
        <is>
          <t>Stormwater &amp; Highway Drainage</t>
        </is>
      </c>
      <c r="C12" s="6" t="inlineStr">
        <is>
          <t>FHWA HEC-22 &amp; FHWA HDS-5 • NOAA Atlas 14</t>
        </is>
      </c>
      <c r="D12" s="6" t="inlineStr">
        <is>
          <t>Rational peak flow Q = CIA, NOAA Atlas 14 IDF curves, curb &amp; gutter spread/interception, culvert inlet vs outlet control HW/D</t>
        </is>
      </c>
    </row>
    <row r="13" ht="20" customHeight="1">
      <c r="A13" s="5" t="inlineStr">
        <is>
          <t>Piles &amp; Foundations</t>
        </is>
      </c>
      <c r="B13" s="6" t="inlineStr">
        <is>
          <t>Deep Foundations &amp; Geotechnical</t>
        </is>
      </c>
      <c r="C13" s="6" t="inlineStr">
        <is>
          <t>NCEES § 6.2.3 • Meyerhof &amp; Nordlund</t>
        </is>
      </c>
      <c r="D13" s="6" t="inlineStr">
        <is>
          <t>Driven piles &amp; drilled shafts, end bearing Qp, skin friction Qs (alpha-method for clay, beta-method for sand), group efficiency Converse-Labarre</t>
        </is>
      </c>
    </row>
    <row r="14" ht="20" customHeight="1">
      <c r="A14" s="5" t="inlineStr">
        <is>
          <t>Slabs - Westergaard SOG</t>
        </is>
      </c>
      <c r="B14" s="6" t="inlineStr">
        <is>
          <t>Structural Concrete &amp; Pavements</t>
        </is>
      </c>
      <c r="C14" s="6" t="inlineStr">
        <is>
          <t>PCA Concrete Floor Slabs • Westergaard</t>
        </is>
      </c>
      <c r="D14" s="6" t="inlineStr">
        <is>
          <t>Concrete slab-on-grade under heavy wheel loads, modulus of subgrade reaction k, radius of relative stiffness l, interior/edge/corner stresses</t>
        </is>
      </c>
    </row>
    <row r="15" ht="20" customHeight="1">
      <c r="A15" s="5" t="inlineStr">
        <is>
          <t>Slabs - ACI 318 DDM</t>
        </is>
      </c>
      <c r="B15" s="6" t="inlineStr">
        <is>
          <t>Structural Reinforced Concrete</t>
        </is>
      </c>
      <c r="C15" s="6" t="inlineStr">
        <is>
          <t>ACI 318-19 Chapter 8 • Direct Design Method</t>
        </is>
      </c>
      <c r="D15" s="6" t="inlineStr">
        <is>
          <t>Two-way slab systems, total static moment Mo = qu*l2*ln^2/8, longitudinal negative/positive division, column strip vs middle strip moments</t>
        </is>
      </c>
    </row>
    <row r="16" ht="20" customHeight="1">
      <c r="A16" s="5" t="inlineStr">
        <is>
          <t>Slabs - ACI 318 EFM</t>
        </is>
      </c>
      <c r="B16" s="6" t="inlineStr">
        <is>
          <t>Structural Reinforced Concrete</t>
        </is>
      </c>
      <c r="C16" s="6" t="inlineStr">
        <is>
          <t>ACI 318-19 Chapter 8 • Equivalent Frame Method</t>
        </is>
      </c>
      <c r="D16" s="6" t="inlineStr">
        <is>
          <t>Frame discretization, slab-beam stiffness K_sb, column stiffness K_c, torsional member stiffness Kt, equivalent column Kec, moment distribution</t>
        </is>
      </c>
    </row>
    <row r="17" ht="20" customHeight="1">
      <c r="A17" s="5" t="inlineStr">
        <is>
          <t>Slabs - Yield Line Theory</t>
        </is>
      </c>
      <c r="B17" s="6" t="inlineStr">
        <is>
          <t>Structural Concrete Plasticity</t>
        </is>
      </c>
      <c r="C17" s="6" t="inlineStr">
        <is>
          <t>Johansen Yield Line Theory • Park &amp; Gamble</t>
        </is>
      </c>
      <c r="D17" s="6" t="inlineStr">
        <is>
          <t>Upper-bound plastic collapse analysis, virtual work W_ext = W_int, collapse mechanisms, ultimate plastic collapse load w_u</t>
        </is>
      </c>
    </row>
    <row r="18" ht="20" customHeight="1">
      <c r="A18" s="5" t="inlineStr">
        <is>
          <t>Slabs - Hillerborg Strip</t>
        </is>
      </c>
      <c r="B18" s="6" t="inlineStr">
        <is>
          <t>Structural Concrete Plasticity</t>
        </is>
      </c>
      <c r="C18" s="6" t="inlineStr">
        <is>
          <t>Hillerborg Strip Method • Lower-Bound Plasticity</t>
        </is>
      </c>
      <c r="D18" s="6" t="inlineStr">
        <is>
          <t>Lower-bound equilibrium strip method, orthogonal load dispersion alpha_x + alpha_y = 1, column support bands and field strips, bending moments</t>
        </is>
      </c>
    </row>
    <row r="19" ht="20" customHeight="1">
      <c r="A19" s="5" t="inlineStr">
        <is>
          <t>Slabs - Punching Shear</t>
        </is>
      </c>
      <c r="B19" s="6" t="inlineStr">
        <is>
          <t>Structural Reinforced Concrete</t>
        </is>
      </c>
      <c r="C19" s="6" t="inlineStr">
        <is>
          <t>ACI 318-19 § 22.6 • Two-Way Shear</t>
        </is>
      </c>
      <c r="D19" s="6" t="inlineStr">
        <is>
          <t>Critical punching shear perimeter bo at d/2 from column face, concrete shear capacity Vc (min of 3 ACI equations), factored stress vu vs phi*vc</t>
        </is>
      </c>
    </row>
    <row r="20" ht="20" customHeight="1">
      <c r="A20" s="5" t="inlineStr">
        <is>
          <t>Slope Stability</t>
        </is>
      </c>
      <c r="B20" s="6" t="inlineStr">
        <is>
          <t>Geotechnical Engineering</t>
        </is>
      </c>
      <c r="C20" s="6" t="inlineStr">
        <is>
          <t>NCEES § 6.2.4 • Bishop Method of Slices</t>
        </is>
      </c>
      <c r="D20" s="6" t="inlineStr">
        <is>
          <t>Infinite slope with steady-state seepage, Bishop Simplified Method of slices for circular rotational failure arcs, interslice forces, factor of safety</t>
        </is>
      </c>
    </row>
    <row r="21" ht="20" customHeight="1">
      <c r="A21" s="5" t="inlineStr">
        <is>
          <t>Weirs &amp; Dams</t>
        </is>
      </c>
      <c r="B21" s="6" t="inlineStr">
        <is>
          <t>Hydraulics &amp; Water Resources</t>
        </is>
      </c>
      <c r="C21" s="6" t="inlineStr">
        <is>
          <t>USACE EM 1110-2-2200 • NCEES § 6.3.8</t>
        </is>
      </c>
      <c r="D21" s="6" t="inlineStr">
        <is>
          <t>Rectangular, 90-deg V-notch (Q = 2.50 H^2.5), Cipolletti, and broad-crested weirs; Concrete gravity dam overturning, sliding, uplift, bearing, piping</t>
        </is>
      </c>
    </row>
    <row r="22" ht="20" customHeight="1">
      <c r="A22" s="5" t="inlineStr">
        <is>
          <t>50x50 Slab &amp; Helical Piles</t>
        </is>
      </c>
      <c r="B22" s="6" t="inlineStr">
        <is>
          <t>Geotechnical &amp; Residential Foundation</t>
        </is>
      </c>
      <c r="C22" s="6" t="inlineStr">
        <is>
          <t>ACI 318 • ICC-ES AC358 Helical Standards</t>
        </is>
      </c>
      <c r="D22" s="6" t="inlineStr">
        <is>
          <t>50x50 house load distribution, helical pile torque-to-capacity correlation Q_ult = Kt*T, multi-helix load sharing, pore pressure, safety factor matrix</t>
        </is>
      </c>
    </row>
    <row r="23" ht="20" customHeight="1">
      <c r="A23" s="5" t="inlineStr">
        <is>
          <t>NPSH &amp; Pump Cavitation</t>
        </is>
      </c>
      <c r="B23" s="6" t="inlineStr">
        <is>
          <t>Hydraulics &amp; Pumping Systems</t>
        </is>
      </c>
      <c r="C23" s="6" t="inlineStr">
        <is>
          <t>NCEES § 6.3.8.6 • Hydraulic Institute Standards</t>
        </is>
      </c>
      <c r="D23" s="6" t="inlineStr">
        <is>
          <t>Atmospheric pressure vs altitude, vapor pressure vs temperature, suction pipe Hazen-Williams friction &amp; minor losses, NPSHa, NPSHr, NCEES max lift Hs</t>
        </is>
      </c>
    </row>
    <row r="24" ht="20" customHeight="1">
      <c r="A24" s="5" t="inlineStr">
        <is>
          <t>Stormwater &amp; TR-55 CN</t>
        </is>
      </c>
      <c r="B24" s="6" t="inlineStr">
        <is>
          <t>Hydrology &amp; Stormwater Management</t>
        </is>
      </c>
      <c r="C24" s="6" t="inlineStr">
        <is>
          <t>USDA NRCS TR-55 • NCEES § 6.3.3</t>
        </is>
      </c>
      <c r="D24" s="6" t="inlineStr">
        <is>
          <t>Hydrologic Soil Groups A-D, composite Curve Number CN, S, Ia, direct runoff Q = (P-0.2S)^2/(P+0.8S), TR-55 detention ratio Vs/Vr, drawdown orifice do</t>
        </is>
      </c>
    </row>
    <row r="26" ht="24" customHeight="1">
      <c r="A26" s="3" t="inlineStr">
        <is>
          <t>2. STANDARDIZED COLOR CODING &amp; CELL CONVENTIONS</t>
        </is>
      </c>
    </row>
    <row r="27" ht="20" customHeight="1">
      <c r="A27" s="7" t="inlineStr">
        <is>
          <t>User Modifiable Input Parameter</t>
        </is>
      </c>
      <c r="B27" s="6" t="inlineStr">
        <is>
          <t>Soft Blue fill (#EFF6FF) with thin border. Modify these values to customize scenarios.</t>
        </is>
      </c>
      <c r="C27" s="70" t="n"/>
      <c r="D27" s="71" t="n"/>
    </row>
    <row r="28" ht="20" customHeight="1">
      <c r="A28" s="6" t="inlineStr">
        <is>
          <t>Live Dynamic Excel Formula</t>
        </is>
      </c>
      <c r="B28" s="6" t="inlineStr">
        <is>
          <t>White / Neutral cell containing real formulas (=SUM, =IF, =SQRT, etc.). Do not overwrite.</t>
        </is>
      </c>
      <c r="C28" s="70" t="n"/>
      <c r="D28" s="71" t="n"/>
    </row>
    <row r="29" ht="20" customHeight="1">
      <c r="A29" s="8" t="inlineStr">
        <is>
          <t>Code Check / Design Status: PASS</t>
        </is>
      </c>
      <c r="B29" s="6" t="inlineStr">
        <is>
          <t>Soft Green fill (#DCFCE7) indicating compliance with NCEES, ACI, AASHTO, or OSHA criteria.</t>
        </is>
      </c>
      <c r="C29" s="70" t="n"/>
      <c r="D29" s="71" t="n"/>
    </row>
    <row r="30" ht="20" customHeight="1">
      <c r="A30" s="9" t="inlineStr">
        <is>
          <t>Code Check / Design Status: FAIL</t>
        </is>
      </c>
      <c r="B30" s="6" t="inlineStr">
        <is>
          <t>Soft Red fill (#FEE2E2) indicating safety factor violation or overtopping hazard.</t>
        </is>
      </c>
      <c r="C30" s="70" t="n"/>
      <c r="D30" s="71" t="n"/>
    </row>
    <row r="32" ht="24" customHeight="1">
      <c r="A32" s="3" t="inlineStr">
        <is>
          <t>3. NCEES CIVIL PE FREQUENT UNIT CONVERSIONS</t>
        </is>
      </c>
    </row>
    <row r="33" ht="19" customHeight="1">
      <c r="A33" s="10" t="inlineStr">
        <is>
          <t>1 acre-foot</t>
        </is>
      </c>
      <c r="B33" s="6" t="inlineStr">
        <is>
          <t>43,560 ft³ = 325,851 gallons</t>
        </is>
      </c>
      <c r="C33" s="70" t="n"/>
      <c r="D33" s="71" t="n"/>
    </row>
    <row r="34" ht="19" customHeight="1">
      <c r="A34" s="10" t="inlineStr">
        <is>
          <t>1 ft³ of Water</t>
        </is>
      </c>
      <c r="B34" s="6" t="inlineStr">
        <is>
          <t>7.48052 gallons = 62.4 lbs (at 60°F)</t>
        </is>
      </c>
      <c r="C34" s="70" t="n"/>
      <c r="D34" s="71" t="n"/>
    </row>
    <row r="35" ht="19" customHeight="1">
      <c r="A35" s="10" t="inlineStr">
        <is>
          <t>1 cubic foot per second (cfs)</t>
        </is>
      </c>
      <c r="B35" s="6" t="inlineStr">
        <is>
          <t>448.83 gallons per minute (gpm) = 0.6463 MGD</t>
        </is>
      </c>
      <c r="C35" s="70" t="n"/>
      <c r="D35" s="71" t="n"/>
    </row>
    <row r="36" ht="19" customHeight="1">
      <c r="A36" s="10" t="inlineStr">
        <is>
          <t>1 psi pressure head</t>
        </is>
      </c>
      <c r="B36" s="6" t="inlineStr">
        <is>
          <t>2.307 feet of water column (ft H₂O)</t>
        </is>
      </c>
      <c r="C36" s="70" t="n"/>
      <c r="D36" s="71" t="n"/>
    </row>
    <row r="37" ht="19" customHeight="1">
      <c r="A37" s="10" t="inlineStr">
        <is>
          <t>Standard Atmospheric Pressure (Sea Level)</t>
        </is>
      </c>
      <c r="B37" s="6" t="inlineStr">
        <is>
          <t>14.696 psia = 2,116 psf = 33.90 ft H₂O = 29.92 in Hg</t>
        </is>
      </c>
      <c r="C37" s="70" t="n"/>
      <c r="D37" s="71" t="n"/>
    </row>
    <row r="38" ht="19" customHeight="1">
      <c r="A38" s="10" t="inlineStr">
        <is>
          <t>Acceleration of Gravity (g)</t>
        </is>
      </c>
      <c r="B38" s="6" t="inlineStr">
        <is>
          <t>32.174 ft/s² = 9.80665 m/s²</t>
        </is>
      </c>
      <c r="C38" s="70" t="n"/>
      <c r="D38" s="71" t="n"/>
    </row>
    <row r="39" ht="19" customHeight="1">
      <c r="A39" s="10" t="inlineStr">
        <is>
          <t>Density of Normal-Weight Concrete</t>
        </is>
      </c>
      <c r="B39" s="6" t="inlineStr">
        <is>
          <t>145 to 150 lbs/ft³ (pcf)</t>
        </is>
      </c>
      <c r="C39" s="70" t="n"/>
      <c r="D39" s="71" t="n"/>
    </row>
    <row r="40" ht="19" customHeight="1">
      <c r="A40" s="10" t="inlineStr">
        <is>
          <t>Modulus of Elasticity of Steel (Es)</t>
        </is>
      </c>
      <c r="B40" s="6" t="inlineStr">
        <is>
          <t>29,000,000 psi (29,000 ksi)</t>
        </is>
      </c>
      <c r="C40" s="70" t="n"/>
      <c r="D40" s="71" t="n"/>
    </row>
  </sheetData>
  <mergeCells count="17">
    <mergeCell ref="A32:G32"/>
    <mergeCell ref="B28:D28"/>
    <mergeCell ref="B33:D33"/>
    <mergeCell ref="B36:D36"/>
    <mergeCell ref="A1:G1"/>
    <mergeCell ref="B37:D37"/>
    <mergeCell ref="B35:D35"/>
    <mergeCell ref="A4:G4"/>
    <mergeCell ref="B40:D40"/>
    <mergeCell ref="A26:G26"/>
    <mergeCell ref="B27:D27"/>
    <mergeCell ref="A2:G2"/>
    <mergeCell ref="B30:D30"/>
    <mergeCell ref="B29:D29"/>
    <mergeCell ref="B39:D39"/>
    <mergeCell ref="B38:D38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5" customWidth="1" min="2" max="2"/>
    <col width="65" customWidth="1" min="3" max="3"/>
    <col width="50" customWidth="1" min="4" max="4"/>
    <col width="87" customWidth="1" min="5" max="5"/>
    <col width="12" customWidth="1" min="6" max="6"/>
    <col width="12" customWidth="1" min="7" max="7"/>
  </cols>
  <sheetData>
    <row r="1" ht="28" customHeight="1">
      <c r="A1" s="1" t="inlineStr">
        <is>
          <t>RETAINING WALL STABILITY &amp; SURCHARGE ANALYSIS</t>
        </is>
      </c>
    </row>
    <row r="2" ht="18" customHeight="1">
      <c r="A2" s="2" t="inlineStr">
        <is>
          <t>Rankine &amp; Coulomb Active Earth Pressure • Overturning, Sliding, Bearing Capacity &amp; Middle-Third Kern Check (NCEES § 6.2.2)</t>
        </is>
      </c>
    </row>
    <row r="3" ht="10" customHeight="1"/>
    <row r="4" ht="24" customHeight="1">
      <c r="A4" s="3" t="inlineStr">
        <is>
          <t>1. GEOTECHNICAL &amp; GEOMETRIC INPUTS</t>
        </is>
      </c>
    </row>
    <row r="5" ht="22" customHeight="1">
      <c r="A5" s="4" t="inlineStr">
        <is>
          <t>Parameter Description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Engineering Code / Reference Formula</t>
        </is>
      </c>
    </row>
    <row r="6" ht="20" customHeight="1">
      <c r="A6" s="11" t="inlineStr">
        <is>
          <t>Wall Total Height (H)</t>
        </is>
      </c>
      <c r="B6" s="12" t="n">
        <v>18</v>
      </c>
      <c r="C6" s="13" t="inlineStr">
        <is>
          <t>ft</t>
        </is>
      </c>
      <c r="D6" s="14" t="inlineStr">
        <is>
          <t>Top of wall to bottom of footing</t>
        </is>
      </c>
    </row>
    <row r="7" ht="20" customHeight="1">
      <c r="A7" s="11" t="inlineStr">
        <is>
          <t>Retained Soil Friction Angle (phi)</t>
        </is>
      </c>
      <c r="B7" s="15" t="n">
        <v>32</v>
      </c>
      <c r="C7" s="13" t="inlineStr">
        <is>
          <t>deg</t>
        </is>
      </c>
      <c r="D7" s="16" t="inlineStr">
        <is>
          <t>Effective internal friction angle</t>
        </is>
      </c>
    </row>
    <row r="8" ht="20" customHeight="1">
      <c r="A8" s="11" t="inlineStr">
        <is>
          <t>Retained Soil Unit Weight (gamma)</t>
        </is>
      </c>
      <c r="B8" s="15" t="n">
        <v>120</v>
      </c>
      <c r="C8" s="13" t="inlineStr">
        <is>
          <t>pcf</t>
        </is>
      </c>
      <c r="D8" s="16" t="inlineStr">
        <is>
          <t>Total moist unit weight of backfill</t>
        </is>
      </c>
    </row>
    <row r="9" ht="20" customHeight="1">
      <c r="A9" s="11" t="inlineStr">
        <is>
          <t>Footing Base Width (B)</t>
        </is>
      </c>
      <c r="B9" s="12" t="n">
        <v>11</v>
      </c>
      <c r="C9" s="13" t="inlineStr">
        <is>
          <t>ft</t>
        </is>
      </c>
      <c r="D9" s="14" t="inlineStr">
        <is>
          <t>Overall width of reinforced concrete slab</t>
        </is>
      </c>
    </row>
    <row r="10" ht="20" customHeight="1">
      <c r="A10" s="11" t="inlineStr">
        <is>
          <t>Footing Slab Thickness (t_f)</t>
        </is>
      </c>
      <c r="B10" s="12" t="n">
        <v>2</v>
      </c>
      <c r="C10" s="13" t="inlineStr">
        <is>
          <t>ft</t>
        </is>
      </c>
      <c r="D10" s="14" t="inlineStr">
        <is>
          <t>Thickness of foundation base footing</t>
        </is>
      </c>
    </row>
    <row r="11" ht="20" customHeight="1">
      <c r="A11" s="11" t="inlineStr">
        <is>
          <t>Stem Base Thickness (t_stem)</t>
        </is>
      </c>
      <c r="B11" s="12" t="n">
        <v>1.5</v>
      </c>
      <c r="C11" s="13" t="inlineStr">
        <is>
          <t>ft</t>
        </is>
      </c>
      <c r="D11" s="14" t="inlineStr">
        <is>
          <t>Thickness of vertical wall stem at base</t>
        </is>
      </c>
    </row>
    <row r="12" ht="20" customHeight="1">
      <c r="A12" s="11" t="inlineStr">
        <is>
          <t>Toe Projection Length (B_toe)</t>
        </is>
      </c>
      <c r="B12" s="12" t="n">
        <v>3</v>
      </c>
      <c r="C12" s="13" t="inlineStr">
        <is>
          <t>ft</t>
        </is>
      </c>
      <c r="D12" s="14" t="inlineStr">
        <is>
          <t>Distance from front toe edge to stem front face</t>
        </is>
      </c>
    </row>
    <row r="13" ht="20" customHeight="1">
      <c r="A13" s="11" t="inlineStr">
        <is>
          <t>Uniform Traffic Surcharge Load (q_s)</t>
        </is>
      </c>
      <c r="B13" s="15" t="n">
        <v>250</v>
      </c>
      <c r="C13" s="13" t="inlineStr">
        <is>
          <t>psf</t>
        </is>
      </c>
      <c r="D13" s="16" t="inlineStr">
        <is>
          <t>Equivalent traffic surcharge (h_eq = 2.0 ft)</t>
        </is>
      </c>
    </row>
    <row r="14" ht="20" customHeight="1">
      <c r="A14" s="11" t="inlineStr">
        <is>
          <t>Concrete Unit Weight (gamma_c)</t>
        </is>
      </c>
      <c r="B14" s="15" t="n">
        <v>150</v>
      </c>
      <c r="C14" s="13" t="inlineStr">
        <is>
          <t>pcf</t>
        </is>
      </c>
      <c r="D14" s="16" t="inlineStr">
        <is>
          <t>Reinforced structural concrete</t>
        </is>
      </c>
    </row>
    <row r="15" ht="20" customHeight="1">
      <c r="A15" s="11" t="inlineStr">
        <is>
          <t>Soil-Base Friction Coefficient (tan delta)</t>
        </is>
      </c>
      <c r="B15" s="12" t="n">
        <v>0.5</v>
      </c>
      <c r="C15" s="13" t="inlineStr">
        <is>
          <t>-</t>
        </is>
      </c>
      <c r="D15" s="14" t="inlineStr">
        <is>
          <t>tan(delta) where delta = 2/3 * phi</t>
        </is>
      </c>
    </row>
    <row r="16" ht="20" customHeight="1">
      <c r="A16" s="11" t="inlineStr">
        <is>
          <t>Foundation Soil Allowable Bearing Capacity (q_all)</t>
        </is>
      </c>
      <c r="B16" s="17" t="n">
        <v>4500</v>
      </c>
      <c r="C16" s="13" t="inlineStr">
        <is>
          <t>psf</t>
        </is>
      </c>
      <c r="D16" s="18" t="inlineStr">
        <is>
          <t>Allowable bearing pressure with FS &gt;= 3.0</t>
        </is>
      </c>
    </row>
    <row r="18" ht="24" customHeight="1">
      <c r="A18" s="3" t="inlineStr">
        <is>
          <t>2. ACTIVE LATERAL EARTH PRESSURE &amp; OVERTURNING MOMENTS</t>
        </is>
      </c>
    </row>
    <row r="19" ht="22" customHeight="1">
      <c r="A19" s="4" t="inlineStr">
        <is>
          <t>Lateral Force Component</t>
        </is>
      </c>
      <c r="B19" s="4" t="inlineStr">
        <is>
          <t>Governing Formula</t>
        </is>
      </c>
      <c r="C19" s="4" t="inlineStr">
        <is>
          <t>Thrust Force (lbs/ft)</t>
        </is>
      </c>
      <c r="D19" s="4" t="inlineStr">
        <is>
          <t>Moment Arm about Toe (ft)</t>
        </is>
      </c>
      <c r="E19" s="4" t="inlineStr">
        <is>
          <t>Overturning Moment (ft-lbs/ft)</t>
        </is>
      </c>
    </row>
    <row r="20" ht="20" customHeight="1">
      <c r="A20" s="11" t="inlineStr">
        <is>
          <t>Rankine Active Pressure Coeff (Ka)</t>
        </is>
      </c>
      <c r="B20" s="19">
        <f>(1-SIN(RADIANS(B7)))/(1+SIN(RADIANS(B7)))</f>
        <v/>
      </c>
      <c r="C20" s="20">
        <f>ROUND((1-SIN(RADIANS(B7)))/(1+SIN(RADIANS(B7))), 4)</f>
        <v/>
      </c>
      <c r="D20" s="21" t="inlineStr">
        <is>
          <t>-</t>
        </is>
      </c>
      <c r="E20" s="21" t="inlineStr">
        <is>
          <t>Ka = tan²(45° - phi/2)</t>
        </is>
      </c>
    </row>
    <row r="21" ht="20" customHeight="1">
      <c r="A21" s="11" t="inlineStr">
        <is>
          <t>Backfill Soil Triangular Thrust (Pa_soil)</t>
        </is>
      </c>
      <c r="B21" s="22">
        <f>0.5 * B8 * B6^2 * B20</f>
        <v/>
      </c>
      <c r="C21" s="20">
        <f>0.5 * B8 * B6^2 * ((1-SIN(RADIANS(B7)))/(1+SIN(RADIANS(B7))))</f>
        <v/>
      </c>
      <c r="D21" s="22">
        <f>B6 / 3</f>
        <v/>
      </c>
      <c r="E21" s="22">
        <f>C21 * D21</f>
        <v/>
      </c>
    </row>
    <row r="22" ht="20" customHeight="1">
      <c r="A22" s="11" t="inlineStr">
        <is>
          <t>Uniform Surcharge Rectangular Thrust (Pa_surch)</t>
        </is>
      </c>
      <c r="B22" s="22">
        <f>B13 * B6 * B20</f>
        <v/>
      </c>
      <c r="C22" s="20">
        <f>B13 * B6 * ((1-SIN(RADIANS(B7)))/(1+SIN(RADIANS(B7))))</f>
        <v/>
      </c>
      <c r="D22" s="22">
        <f>B6 / 2</f>
        <v/>
      </c>
      <c r="E22" s="22">
        <f>C22 * D22</f>
        <v/>
      </c>
    </row>
    <row r="23" ht="20" customHeight="1">
      <c r="A23" s="23" t="inlineStr">
        <is>
          <t>TOTAL LATERAL OVERTURNING (P_total / M_ot)</t>
        </is>
      </c>
      <c r="B23" s="24" t="inlineStr">
        <is>
          <t>Sum of lateral loads</t>
        </is>
      </c>
      <c r="C23" s="25">
        <f>C21 + C22</f>
        <v/>
      </c>
      <c r="D23" s="24" t="inlineStr">
        <is>
          <t>-</t>
        </is>
      </c>
      <c r="E23" s="26">
        <f>E21 + E22</f>
        <v/>
      </c>
    </row>
    <row r="25" ht="24" customHeight="1">
      <c r="A25" s="3" t="inlineStr">
        <is>
          <t>3. RESISTING WEIGHTS &amp; STABILIZING MOMENTS ABOUT TOE</t>
        </is>
      </c>
    </row>
    <row r="26" ht="22" customHeight="1">
      <c r="A26" s="4" t="inlineStr">
        <is>
          <t>Component Section</t>
        </is>
      </c>
      <c r="B26" s="4" t="inlineStr">
        <is>
          <t>Geometry Calculation</t>
        </is>
      </c>
      <c r="C26" s="4" t="inlineStr">
        <is>
          <t>Weight (lbs/ft)</t>
        </is>
      </c>
      <c r="D26" s="4" t="inlineStr">
        <is>
          <t>Moment Arm about Toe (ft)</t>
        </is>
      </c>
      <c r="E26" s="4" t="inlineStr">
        <is>
          <t>Resisting Moment (ft-lbs/ft)</t>
        </is>
      </c>
    </row>
    <row r="27" ht="20" customHeight="1">
      <c r="A27" s="11" t="inlineStr">
        <is>
          <t>W1: Concrete Stem</t>
        </is>
      </c>
      <c r="B27" s="22">
        <f>(B6 - B10) * B11 * B14</f>
        <v/>
      </c>
      <c r="C27" s="20">
        <f>(B6 - B10) * B11 * B14</f>
        <v/>
      </c>
      <c r="D27" s="22">
        <f>B12 + B11/2</f>
        <v/>
      </c>
      <c r="E27" s="22">
        <f>C27 * D27</f>
        <v/>
      </c>
    </row>
    <row r="28" ht="20" customHeight="1">
      <c r="A28" s="11" t="inlineStr">
        <is>
          <t>W2: Concrete Footing Base</t>
        </is>
      </c>
      <c r="B28" s="22">
        <f>B9 * B10 * B14</f>
        <v/>
      </c>
      <c r="C28" s="20">
        <f>B9 * B10 * B14</f>
        <v/>
      </c>
      <c r="D28" s="22">
        <f>B9 / 2</f>
        <v/>
      </c>
      <c r="E28" s="22">
        <f>C28 * D28</f>
        <v/>
      </c>
    </row>
    <row r="29" ht="20" customHeight="1">
      <c r="A29" s="11" t="inlineStr">
        <is>
          <t>W3: Soil Backfill over Heel</t>
        </is>
      </c>
      <c r="B29" s="22">
        <f>(B9 - B12 - B11) * (B6 - B10) * B8</f>
        <v/>
      </c>
      <c r="C29" s="20">
        <f>(B9 - B12 - B11) * (B6 - B10) * B8</f>
        <v/>
      </c>
      <c r="D29" s="22">
        <f>B9 - (B9 - B12 - B11)/2</f>
        <v/>
      </c>
      <c r="E29" s="22">
        <f>C29 * D29</f>
        <v/>
      </c>
    </row>
    <row r="30" ht="20" customHeight="1">
      <c r="A30" s="23" t="inlineStr">
        <is>
          <t>TOTAL RESISTING (W_total / M_resist)</t>
        </is>
      </c>
      <c r="B30" s="24" t="inlineStr">
        <is>
          <t>Sum of vertical loads</t>
        </is>
      </c>
      <c r="C30" s="25">
        <f>C27 + C28 + C29</f>
        <v/>
      </c>
      <c r="D30" s="24" t="inlineStr">
        <is>
          <t>-</t>
        </is>
      </c>
      <c r="E30" s="26">
        <f>E27 + E28 + E29</f>
        <v/>
      </c>
    </row>
    <row r="32" ht="24" customHeight="1">
      <c r="A32" s="3" t="inlineStr">
        <is>
          <t>4. CODE COMPLIANCE &amp; SAFETY FACTOR VERIFICATION</t>
        </is>
      </c>
    </row>
    <row r="33" ht="22" customHeight="1">
      <c r="A33" s="4" t="inlineStr">
        <is>
          <t>Stability Criteria</t>
        </is>
      </c>
      <c r="B33" s="4" t="inlineStr">
        <is>
          <t>Calculated Value</t>
        </is>
      </c>
      <c r="C33" s="4" t="inlineStr">
        <is>
          <t>Allowable / Target Limit</t>
        </is>
      </c>
      <c r="D33" s="4" t="inlineStr">
        <is>
          <t>Safety Factor / Margin</t>
        </is>
      </c>
      <c r="E33" s="4" t="inlineStr">
        <is>
          <t>Design Status Check</t>
        </is>
      </c>
    </row>
    <row r="34" ht="20" customHeight="1">
      <c r="A34" s="11" t="inlineStr">
        <is>
          <t>Overturning Factor of Safety (FS_ot)</t>
        </is>
      </c>
      <c r="B34" s="27">
        <f>E30 / E23</f>
        <v/>
      </c>
      <c r="C34" s="28" t="inlineStr">
        <is>
          <t>&gt;= 2.00</t>
        </is>
      </c>
      <c r="D34" s="29">
        <f>E30 / E23</f>
        <v/>
      </c>
      <c r="E34" s="29">
        <f>IF(B34&gt;=2.0, "PASS - OVERTURNING SAFE", "FAIL - UNDERSIZED TOE")</f>
        <v/>
      </c>
    </row>
    <row r="35" ht="20" customHeight="1">
      <c r="A35" s="11" t="inlineStr">
        <is>
          <t>Sliding Factor of Safety (FS_sl)</t>
        </is>
      </c>
      <c r="B35" s="27">
        <f>(C30 * B15) / C23</f>
        <v/>
      </c>
      <c r="C35" s="28" t="inlineStr">
        <is>
          <t>&gt;= 1.50</t>
        </is>
      </c>
      <c r="D35" s="29">
        <f>(C30 * B15) / C23</f>
        <v/>
      </c>
      <c r="E35" s="29">
        <f>IF(B35&gt;=1.5, "PASS - SLIDING SAFE", "FAIL - ADD SHEAR KEY")</f>
        <v/>
      </c>
    </row>
    <row r="36" ht="20" customHeight="1">
      <c r="A36" s="11" t="inlineStr">
        <is>
          <t>Resultant Location from Toe (x_bar)</t>
        </is>
      </c>
      <c r="B36" s="30">
        <f>(E30 - E23) / C30</f>
        <v/>
      </c>
      <c r="C36" s="13" t="inlineStr">
        <is>
          <t>-</t>
        </is>
      </c>
      <c r="D36" s="14">
        <f>(E30 - E23) / C30</f>
        <v/>
      </c>
      <c r="E36" s="14" t="inlineStr">
        <is>
          <t>ft from toe</t>
        </is>
      </c>
    </row>
    <row r="37" ht="20" customHeight="1">
      <c r="A37" s="11" t="inlineStr">
        <is>
          <t>Eccentricity from Centerline (e)</t>
        </is>
      </c>
      <c r="B37" s="27">
        <f>ABS(B9/2 - B36)</f>
        <v/>
      </c>
      <c r="C37" s="28" t="inlineStr">
        <is>
          <t>&lt;= B/6 (1.83 ft)</t>
        </is>
      </c>
      <c r="D37" s="29">
        <f>B9/6</f>
        <v/>
      </c>
      <c r="E37" s="29">
        <f>IF(B37&lt;=(B9/6), "PASS - WITHIN MIDDLE THIRD (KERN)", "FAIL - TENSION AT HEEL")</f>
        <v/>
      </c>
    </row>
    <row r="38" ht="20" customHeight="1">
      <c r="A38" s="11" t="inlineStr">
        <is>
          <t>Maximum Toe Bearing Pressure (q_toe)</t>
        </is>
      </c>
      <c r="B38" s="31">
        <f>(C30 / B9) * (1 + 6*B37/B9)</f>
        <v/>
      </c>
      <c r="C38" s="28" t="inlineStr">
        <is>
          <t>&lt;= 4500 psf</t>
        </is>
      </c>
      <c r="D38" s="32">
        <f>B16 - B38</f>
        <v/>
      </c>
      <c r="E38" s="32">
        <f>IF(B38&lt;=B16, "PASS - BEARING CAPACITY ADEQUATE", "FAIL - EXCEEDS BEARING CAPACITY")</f>
        <v/>
      </c>
    </row>
  </sheetData>
  <mergeCells count="6">
    <mergeCell ref="A32:G32"/>
    <mergeCell ref="A1:G1"/>
    <mergeCell ref="A18:G18"/>
    <mergeCell ref="A4:G4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8" customWidth="1" min="3" max="3"/>
    <col width="43" customWidth="1" min="4" max="4"/>
    <col width="77" customWidth="1" min="5" max="5"/>
    <col width="26" customWidth="1" min="6" max="6"/>
    <col width="28" customWidth="1" min="7" max="7"/>
  </cols>
  <sheetData>
    <row r="1" ht="28" customHeight="1">
      <c r="A1" s="1" t="inlineStr">
        <is>
          <t>STORMWATER RETENTION &amp; DETENTION BASIN SIZING</t>
        </is>
      </c>
    </row>
    <row r="2" ht="18" customHeight="1">
      <c r="A2" s="2" t="inlineStr">
        <is>
          <t>Rational Runoff • Prismoidal / Conic Stage-Storage Geometry • Low-Flow Orifice Drawdown &amp; Freeboard (NCEES § 6.3.3)</t>
        </is>
      </c>
    </row>
    <row r="3" ht="10" customHeight="1"/>
    <row r="4" ht="24" customHeight="1">
      <c r="A4" s="3" t="inlineStr">
        <is>
          <t>1. WATERSHED &amp; HYDROLOGIC INFLOW PARAMETERS</t>
        </is>
      </c>
    </row>
    <row r="5" ht="22" customHeight="1">
      <c r="A5" s="4" t="inlineStr">
        <is>
          <t>Parameter Description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Engineering Formula / Reference</t>
        </is>
      </c>
    </row>
    <row r="6" ht="20" customHeight="1">
      <c r="A6" s="11" t="inlineStr">
        <is>
          <t>Drainage Catchment Area (A)</t>
        </is>
      </c>
      <c r="B6" s="15" t="n">
        <v>15</v>
      </c>
      <c r="C6" s="13" t="inlineStr">
        <is>
          <t>acres</t>
        </is>
      </c>
      <c r="D6" s="16" t="inlineStr">
        <is>
          <t>Total watershed contributing runoff</t>
        </is>
      </c>
    </row>
    <row r="7" ht="20" customHeight="1">
      <c r="A7" s="11" t="inlineStr">
        <is>
          <t>Composite Runoff Coefficient (C)</t>
        </is>
      </c>
      <c r="B7" s="12" t="n">
        <v>0.65</v>
      </c>
      <c r="C7" s="13" t="inlineStr">
        <is>
          <t>-</t>
        </is>
      </c>
      <c r="D7" s="14" t="inlineStr">
        <is>
          <t>Rational runoff coefficient (paved/turf)</t>
        </is>
      </c>
    </row>
    <row r="8" ht="20" customHeight="1">
      <c r="A8" s="11" t="inlineStr">
        <is>
          <t>25-Year Design Rainfall Intensity (I)</t>
        </is>
      </c>
      <c r="B8" s="12" t="n">
        <v>5.2</v>
      </c>
      <c r="C8" s="13" t="inlineStr">
        <is>
          <t>in/hr</t>
        </is>
      </c>
      <c r="D8" s="14" t="inlineStr">
        <is>
          <t>From regional NOAA Atlas 14 IDF curve</t>
        </is>
      </c>
    </row>
    <row r="9" ht="20" customHeight="1">
      <c r="A9" s="11" t="inlineStr">
        <is>
          <t>Rational Peak Inflow Rate (Q_in)</t>
        </is>
      </c>
      <c r="B9" s="33">
        <f>B6 * B7 * B8</f>
        <v/>
      </c>
      <c r="C9" s="13" t="inlineStr">
        <is>
          <t>cfs</t>
        </is>
      </c>
      <c r="D9" s="34" t="inlineStr">
        <is>
          <t>Q = C * I * A</t>
        </is>
      </c>
    </row>
    <row r="10" ht="20" customHeight="1">
      <c r="A10" s="11" t="inlineStr">
        <is>
          <t>Design Storm Duration (t_d)</t>
        </is>
      </c>
      <c r="B10" s="15" t="n">
        <v>60</v>
      </c>
      <c r="C10" s="13" t="inlineStr">
        <is>
          <t>minutes</t>
        </is>
      </c>
      <c r="D10" s="16" t="inlineStr">
        <is>
          <t>Duration of design storm event</t>
        </is>
      </c>
    </row>
    <row r="11" ht="20" customHeight="1">
      <c r="A11" s="11" t="inlineStr">
        <is>
          <t>Total Runoff Inflow Volume (V_in)</t>
        </is>
      </c>
      <c r="B11" s="22">
        <f>B9 * (B10 * 60)</f>
        <v/>
      </c>
      <c r="C11" s="13" t="inlineStr">
        <is>
          <t>cu ft</t>
        </is>
      </c>
      <c r="D11" s="18" t="inlineStr">
        <is>
          <t>V_in = Q_in * t_seconds</t>
        </is>
      </c>
    </row>
    <row r="12" ht="20" customHeight="1">
      <c r="A12" s="11" t="inlineStr">
        <is>
          <t>Total Runoff Volume in Acre-Feet</t>
        </is>
      </c>
      <c r="B12" s="30">
        <f>B11 / 43560</f>
        <v/>
      </c>
      <c r="C12" s="13" t="inlineStr">
        <is>
          <t>acre-ft</t>
        </is>
      </c>
      <c r="D12" s="14" t="inlineStr">
        <is>
          <t>1 acre-ft = 43,560 cu ft</t>
        </is>
      </c>
    </row>
    <row r="14" ht="24" customHeight="1">
      <c r="A14" s="3" t="inlineStr">
        <is>
          <t>2. DETENTION BASIN PRISMOIDAL STAGE-STORAGE GEOMETRY</t>
        </is>
      </c>
    </row>
    <row r="15" ht="22" customHeight="1">
      <c r="A15" s="4" t="inlineStr">
        <is>
          <t>Stage Depth h (ft)</t>
        </is>
      </c>
      <c r="B15" s="4" t="inlineStr">
        <is>
          <t>Length L(h) (ft)</t>
        </is>
      </c>
      <c r="C15" s="4" t="inlineStr">
        <is>
          <t>Width W(h) (ft)</t>
        </is>
      </c>
      <c r="D15" s="4" t="inlineStr">
        <is>
          <t>Surface Area A(h) (ft²)</t>
        </is>
      </c>
      <c r="E15" s="4" t="inlineStr">
        <is>
          <t>Incremental Volume (ft³)</t>
        </is>
      </c>
      <c r="F15" s="4" t="inlineStr">
        <is>
          <t>Cumulative Volume (ft³)</t>
        </is>
      </c>
      <c r="G15" s="4" t="inlineStr">
        <is>
          <t>Cumulative Volume (ac-ft)</t>
        </is>
      </c>
    </row>
    <row r="16" ht="20" customHeight="1">
      <c r="A16" s="11" t="n">
        <v>0</v>
      </c>
      <c r="B16" s="30" t="n">
        <v>120</v>
      </c>
      <c r="C16" s="20" t="n">
        <v>60</v>
      </c>
      <c r="D16" s="30">
        <f>120.0 * 60.0</f>
        <v/>
      </c>
      <c r="E16" s="30" t="n">
        <v>0</v>
      </c>
      <c r="F16" s="20" t="n">
        <v>0</v>
      </c>
      <c r="G16" s="20" t="n">
        <v>0</v>
      </c>
    </row>
    <row r="17" ht="20" customHeight="1">
      <c r="A17" s="11" t="n">
        <v>1</v>
      </c>
      <c r="B17" s="22">
        <f>120 + 2*3*A17</f>
        <v/>
      </c>
      <c r="C17" s="20">
        <f>60 + 2*3*A17</f>
        <v/>
      </c>
      <c r="D17" s="22">
        <f>B17 * C17</f>
        <v/>
      </c>
      <c r="E17" s="22">
        <f>(1/3)*(D16 + D17 + SQRT(D16*D17))</f>
        <v/>
      </c>
      <c r="F17" s="20">
        <f>E17</f>
        <v/>
      </c>
      <c r="G17" s="20">
        <f>F17/43560</f>
        <v/>
      </c>
    </row>
    <row r="18" ht="20" customHeight="1">
      <c r="A18" s="11" t="n">
        <v>2</v>
      </c>
      <c r="B18" s="22">
        <f>120 + 2*3*A18</f>
        <v/>
      </c>
      <c r="C18" s="20">
        <f>60 + 2*3*A18</f>
        <v/>
      </c>
      <c r="D18" s="22">
        <f>B18 * C18</f>
        <v/>
      </c>
      <c r="E18" s="22">
        <f>(1/3)*(D17 + D18 + SQRT(D17*D18))</f>
        <v/>
      </c>
      <c r="F18" s="20">
        <f>F17 + E18</f>
        <v/>
      </c>
      <c r="G18" s="20">
        <f>F18/43560</f>
        <v/>
      </c>
    </row>
    <row r="19" ht="20" customHeight="1">
      <c r="A19" s="11" t="n">
        <v>3</v>
      </c>
      <c r="B19" s="22">
        <f>120 + 2*3*A19</f>
        <v/>
      </c>
      <c r="C19" s="20">
        <f>60 + 2*3*A19</f>
        <v/>
      </c>
      <c r="D19" s="22">
        <f>B19 * C19</f>
        <v/>
      </c>
      <c r="E19" s="22">
        <f>(1/3)*(D18 + D19 + SQRT(D18*D19))</f>
        <v/>
      </c>
      <c r="F19" s="20">
        <f>F18 + E19</f>
        <v/>
      </c>
      <c r="G19" s="20">
        <f>F19/43560</f>
        <v/>
      </c>
    </row>
    <row r="20" ht="20" customHeight="1">
      <c r="A20" s="11" t="n">
        <v>4</v>
      </c>
      <c r="B20" s="22">
        <f>120 + 2*3*A20</f>
        <v/>
      </c>
      <c r="C20" s="20">
        <f>60 + 2*3*A20</f>
        <v/>
      </c>
      <c r="D20" s="22">
        <f>B20 * C20</f>
        <v/>
      </c>
      <c r="E20" s="22">
        <f>(1/3)*(D19 + D20 + SQRT(D19*D20))</f>
        <v/>
      </c>
      <c r="F20" s="20">
        <f>F19 + E20</f>
        <v/>
      </c>
      <c r="G20" s="20">
        <f>F20/43560</f>
        <v/>
      </c>
    </row>
    <row r="21" ht="20" customHeight="1">
      <c r="A21" s="11" t="n">
        <v>5</v>
      </c>
      <c r="B21" s="22">
        <f>120 + 2*3*A21</f>
        <v/>
      </c>
      <c r="C21" s="20">
        <f>60 + 2*3*A21</f>
        <v/>
      </c>
      <c r="D21" s="22">
        <f>B21 * C21</f>
        <v/>
      </c>
      <c r="E21" s="22">
        <f>(1/3)*(D20 + D21 + SQRT(D20*D21))</f>
        <v/>
      </c>
      <c r="F21" s="20">
        <f>F20 + E21</f>
        <v/>
      </c>
      <c r="G21" s="20">
        <f>F21/43560</f>
        <v/>
      </c>
    </row>
    <row r="22" ht="20" customHeight="1">
      <c r="A22" s="11" t="n">
        <v>6</v>
      </c>
      <c r="B22" s="22">
        <f>120 + 2*3*A22</f>
        <v/>
      </c>
      <c r="C22" s="20">
        <f>60 + 2*3*A22</f>
        <v/>
      </c>
      <c r="D22" s="22">
        <f>B22 * C22</f>
        <v/>
      </c>
      <c r="E22" s="22">
        <f>(1/3)*(D21 + D22 + SQRT(D21*D22))</f>
        <v/>
      </c>
      <c r="F22" s="20">
        <f>F21 + E22</f>
        <v/>
      </c>
      <c r="G22" s="20">
        <f>F22/43560</f>
        <v/>
      </c>
    </row>
    <row r="24" ht="24" customHeight="1">
      <c r="A24" s="3" t="inlineStr">
        <is>
          <t>3. OUTLET ORIFICE DRAWDOWN &amp; CODE COMPLIANCE</t>
        </is>
      </c>
    </row>
    <row r="25" ht="22" customHeight="1">
      <c r="A25" s="4" t="inlineStr">
        <is>
          <t>Hydraulic Outlet Parameter</t>
        </is>
      </c>
      <c r="B25" s="4" t="inlineStr">
        <is>
          <t>Calculated Value</t>
        </is>
      </c>
      <c r="C25" s="4" t="inlineStr">
        <is>
          <t>Units</t>
        </is>
      </c>
      <c r="D25" s="4" t="inlineStr">
        <is>
          <t>Governing Equation / Code Limit</t>
        </is>
      </c>
      <c r="E25" s="4" t="inlineStr">
        <is>
          <t>Design Check</t>
        </is>
      </c>
    </row>
    <row r="26" ht="20" customHeight="1">
      <c r="A26" s="11" t="inlineStr">
        <is>
          <t>Allowable Peak Outflow (q_out)</t>
        </is>
      </c>
      <c r="B26" s="12" t="n">
        <v>6.5</v>
      </c>
      <c r="C26" s="13" t="inlineStr">
        <is>
          <t>cfs</t>
        </is>
      </c>
      <c r="D26" s="14" t="inlineStr">
        <is>
          <t>Pre-development target attenuation</t>
        </is>
      </c>
      <c r="E26" s="14" t="inlineStr">
        <is>
          <t>-</t>
        </is>
      </c>
    </row>
    <row r="27" ht="20" customHeight="1">
      <c r="A27" s="11" t="inlineStr">
        <is>
          <t>Low-Flow Orifice Discharge Coeff (Cd)</t>
        </is>
      </c>
      <c r="B27" s="12" t="n">
        <v>0.6</v>
      </c>
      <c r="C27" s="13" t="inlineStr">
        <is>
          <t>-</t>
        </is>
      </c>
      <c r="D27" s="14" t="inlineStr">
        <is>
          <t>Sharp-edged circular orifice</t>
        </is>
      </c>
      <c r="E27" s="14" t="inlineStr">
        <is>
          <t>-</t>
        </is>
      </c>
    </row>
    <row r="28" ht="20" customHeight="1">
      <c r="A28" s="11" t="inlineStr">
        <is>
          <t>Design Drawdown Head (h_o)</t>
        </is>
      </c>
      <c r="B28" s="12" t="n">
        <v>3.5</v>
      </c>
      <c r="C28" s="13" t="inlineStr">
        <is>
          <t>ft</t>
        </is>
      </c>
      <c r="D28" s="14" t="inlineStr">
        <is>
          <t>Effective head over orifice centerline</t>
        </is>
      </c>
      <c r="E28" s="14" t="inlineStr">
        <is>
          <t>-</t>
        </is>
      </c>
    </row>
    <row r="29" ht="20" customHeight="1">
      <c r="A29" s="11" t="inlineStr">
        <is>
          <t>Required Orifice Area (A_o)</t>
        </is>
      </c>
      <c r="B29" s="19">
        <f>B26 / (B27 * SQRT(2 * 32.174 * B28))</f>
        <v/>
      </c>
      <c r="C29" s="13" t="inlineStr">
        <is>
          <t>sq ft</t>
        </is>
      </c>
      <c r="D29" s="21" t="inlineStr">
        <is>
          <t>A_o = Q / (Cd * sqrt(2*g*h))</t>
        </is>
      </c>
      <c r="E29" s="21" t="inlineStr">
        <is>
          <t>-</t>
        </is>
      </c>
    </row>
    <row r="30" ht="20" customHeight="1">
      <c r="A30" s="11" t="inlineStr">
        <is>
          <t>Required Orifice Diameter (d_o)</t>
        </is>
      </c>
      <c r="B30" s="30">
        <f>SQRT(4 * B29 / PI()) * 12</f>
        <v/>
      </c>
      <c r="C30" s="13" t="inlineStr">
        <is>
          <t>inches</t>
        </is>
      </c>
      <c r="D30" s="14" t="inlineStr">
        <is>
          <t>d_o = sqrt(4*Ao/pi) * 12</t>
        </is>
      </c>
      <c r="E30" s="14" t="inlineStr">
        <is>
          <t>Circular Plate Orifice</t>
        </is>
      </c>
    </row>
    <row r="31" ht="20" customHeight="1">
      <c r="A31" s="11" t="inlineStr">
        <is>
          <t>Total Provided Basin Storage at 6.0 ft</t>
        </is>
      </c>
      <c r="B31" s="31">
        <f>F22</f>
        <v/>
      </c>
      <c r="C31" s="28" t="inlineStr">
        <is>
          <t>cu ft</t>
        </is>
      </c>
      <c r="D31" s="35" t="inlineStr">
        <is>
          <t>Prismoidal Frustum Capacity</t>
        </is>
      </c>
      <c r="E31" s="32">
        <f>IF(F22&gt;=B11*0.6, "PASS - DETENTION VOLUME ADEQUATE", "FAIL - EXPAND POND")</f>
        <v/>
      </c>
    </row>
    <row r="32" ht="20" customHeight="1">
      <c r="A32" s="11" t="inlineStr">
        <is>
          <t>Provided Embankment Freeboard</t>
        </is>
      </c>
      <c r="B32" s="27" t="n">
        <v>1.5</v>
      </c>
      <c r="C32" s="28" t="inlineStr">
        <is>
          <t>ft</t>
        </is>
      </c>
      <c r="D32" s="36" t="inlineStr">
        <is>
          <t>Minimum required freeboard &gt;= 1.0 ft</t>
        </is>
      </c>
      <c r="E32" s="29">
        <f>IF(B32&gt;=1.0, "PASS - FREEBOARD COMPLIANT", "FAIL - OVERTOPPING RISK")</f>
        <v/>
      </c>
    </row>
  </sheetData>
  <mergeCells count="5">
    <mergeCell ref="A14:G14"/>
    <mergeCell ref="A1:G1"/>
    <mergeCell ref="A4:G4"/>
    <mergeCell ref="A24:G2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46" customWidth="1" min="2" max="2"/>
    <col width="21" customWidth="1" min="3" max="3"/>
    <col width="58" customWidth="1" min="4" max="4"/>
    <col width="95" customWidth="1" min="5" max="5"/>
    <col width="12" customWidth="1" min="6" max="6"/>
    <col width="12" customWidth="1" min="7" max="7"/>
  </cols>
  <sheetData>
    <row r="1" ht="28" customHeight="1">
      <c r="A1" s="1" t="inlineStr">
        <is>
          <t>GROUNDWATER MOUNDING ANALYSIS UNDER RECHARGE BASINS</t>
        </is>
      </c>
    </row>
    <row r="2" ht="18" customHeight="1">
      <c r="A2" s="2" t="inlineStr">
        <is>
          <t>Analytical Hantush (1967) Model • Saturated Diffusivity • Seasonal High Water Table Separation (USGS Paper 948)</t>
        </is>
      </c>
    </row>
    <row r="3" ht="10" customHeight="1"/>
    <row r="4" ht="24" customHeight="1">
      <c r="A4" s="3" t="inlineStr">
        <is>
          <t>1. HYDROGEOLOGIC &amp; INFILTRATION BASIN INPUTS</t>
        </is>
      </c>
    </row>
    <row r="5" ht="22" customHeight="1">
      <c r="A5" s="4" t="inlineStr">
        <is>
          <t>Parameter Description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Definition / Field Measurement Method</t>
        </is>
      </c>
    </row>
    <row r="6" ht="20" customHeight="1">
      <c r="A6" s="11" t="inlineStr">
        <is>
          <t>Infiltration Recharge Rate (W)</t>
        </is>
      </c>
      <c r="B6" s="12" t="n">
        <v>1.2</v>
      </c>
      <c r="C6" s="13" t="inlineStr">
        <is>
          <t>ft/day</t>
        </is>
      </c>
      <c r="D6" s="14" t="inlineStr">
        <is>
          <t>Percolation basin hydraulic loading rate</t>
        </is>
      </c>
    </row>
    <row r="7" ht="20" customHeight="1">
      <c r="A7" s="11" t="inlineStr">
        <is>
          <t>Hydraulic Conductivity (K)</t>
        </is>
      </c>
      <c r="B7" s="15" t="n">
        <v>15</v>
      </c>
      <c r="C7" s="13" t="inlineStr">
        <is>
          <t>ft/day</t>
        </is>
      </c>
      <c r="D7" s="16" t="inlineStr">
        <is>
          <t>Saturated hydraulic conductivity (Slug / Pumping test)</t>
        </is>
      </c>
    </row>
    <row r="8" ht="20" customHeight="1">
      <c r="A8" s="11" t="inlineStr">
        <is>
          <t>Aquifer Specific Yield (Sy)</t>
        </is>
      </c>
      <c r="B8" s="12" t="n">
        <v>0.22</v>
      </c>
      <c r="C8" s="13" t="inlineStr">
        <is>
          <t>-</t>
        </is>
      </c>
      <c r="D8" s="14" t="inlineStr">
        <is>
          <t>Drainable unconfined porosity (0.15 - 0.28)</t>
        </is>
      </c>
    </row>
    <row r="9" ht="20" customHeight="1">
      <c r="A9" s="11" t="inlineStr">
        <is>
          <t>Initial Saturated Aquifer Thickness (D)</t>
        </is>
      </c>
      <c r="B9" s="15" t="n">
        <v>25</v>
      </c>
      <c r="C9" s="13" t="inlineStr">
        <is>
          <t>ft</t>
        </is>
      </c>
      <c r="D9" s="16" t="inlineStr">
        <is>
          <t>Depth from water table to impermeable boundary</t>
        </is>
      </c>
    </row>
    <row r="10" ht="20" customHeight="1">
      <c r="A10" s="11" t="inlineStr">
        <is>
          <t>Basin Half-Length (a)</t>
        </is>
      </c>
      <c r="B10" s="15" t="n">
        <v>60</v>
      </c>
      <c r="C10" s="13" t="inlineStr">
        <is>
          <t>ft</t>
        </is>
      </c>
      <c r="D10" s="16" t="inlineStr">
        <is>
          <t>Half length of rectangular infiltration basin</t>
        </is>
      </c>
    </row>
    <row r="11" ht="20" customHeight="1">
      <c r="A11" s="11" t="inlineStr">
        <is>
          <t>Basin Half-Width (b)</t>
        </is>
      </c>
      <c r="B11" s="15" t="n">
        <v>30</v>
      </c>
      <c r="C11" s="13" t="inlineStr">
        <is>
          <t>ft</t>
        </is>
      </c>
      <c r="D11" s="16" t="inlineStr">
        <is>
          <t>Half width of rectangular infiltration basin</t>
        </is>
      </c>
    </row>
    <row r="12" ht="20" customHeight="1">
      <c r="A12" s="11" t="inlineStr">
        <is>
          <t>Duration of Recharge Event (t)</t>
        </is>
      </c>
      <c r="B12" s="15" t="n">
        <v>5</v>
      </c>
      <c r="C12" s="13" t="inlineStr">
        <is>
          <t>days</t>
        </is>
      </c>
      <c r="D12" s="16" t="inlineStr">
        <is>
          <t>Continuous stormwater loading duration</t>
        </is>
      </c>
    </row>
    <row r="13" ht="20" customHeight="1">
      <c r="A13" s="11" t="inlineStr">
        <is>
          <t>Initial Vadose Zone Buffer to SHWT</t>
        </is>
      </c>
      <c r="B13" s="12" t="n">
        <v>5.5</v>
      </c>
      <c r="C13" s="13" t="inlineStr">
        <is>
          <t>ft</t>
        </is>
      </c>
      <c r="D13" s="14" t="inlineStr">
        <is>
          <t>Distance from basin invert to seasonal high water table</t>
        </is>
      </c>
    </row>
    <row r="15" ht="24" customHeight="1">
      <c r="A15" s="3" t="inlineStr">
        <is>
          <t>2. HANTUSH EQUATION ANALYTICAL DERIVATION</t>
        </is>
      </c>
    </row>
    <row r="16" ht="22" customHeight="1">
      <c r="A16" s="4" t="inlineStr">
        <is>
          <t>Analytical Term</t>
        </is>
      </c>
      <c r="B16" s="4" t="inlineStr">
        <is>
          <t>Calculated Value</t>
        </is>
      </c>
      <c r="C16" s="4" t="inlineStr">
        <is>
          <t>Units</t>
        </is>
      </c>
      <c r="D16" s="4" t="inlineStr">
        <is>
          <t>Governing Equation &amp; Hantush Functions</t>
        </is>
      </c>
    </row>
    <row r="17" ht="20" customHeight="1">
      <c r="A17" s="11" t="inlineStr">
        <is>
          <t>Aquifer Diffusivity (nu = K*D/Sy)</t>
        </is>
      </c>
      <c r="B17" s="22">
        <f>(B7 * B9) / B8</f>
        <v/>
      </c>
      <c r="C17" s="13" t="inlineStr">
        <is>
          <t>ft²/day</t>
        </is>
      </c>
      <c r="D17" s="18" t="inlineStr">
        <is>
          <t>nu = (K * D) / Sy</t>
        </is>
      </c>
    </row>
    <row r="18" ht="20" customHeight="1">
      <c r="A18" s="11" t="inlineStr">
        <is>
          <t>Characteristic Spreading Parameter (sqrt(4*nu*t))</t>
        </is>
      </c>
      <c r="B18" s="30">
        <f>SQRT(4 * B17 * B12)</f>
        <v/>
      </c>
      <c r="C18" s="13" t="inlineStr">
        <is>
          <t>ft</t>
        </is>
      </c>
      <c r="D18" s="14" t="inlineStr">
        <is>
          <t>Denominator of error function arguments</t>
        </is>
      </c>
    </row>
    <row r="19" ht="20" customHeight="1">
      <c r="A19" s="11" t="inlineStr">
        <is>
          <t>Dimensionless Length Ratio (alpha = a / sqrt(4*nu*t))</t>
        </is>
      </c>
      <c r="B19" s="37">
        <f>B10 / B18</f>
        <v/>
      </c>
      <c r="C19" s="13" t="inlineStr">
        <is>
          <t>-</t>
        </is>
      </c>
      <c r="D19" s="38" t="inlineStr">
        <is>
          <t>alpha = a / sqrt(4*nu*t)</t>
        </is>
      </c>
    </row>
    <row r="20" ht="20" customHeight="1">
      <c r="A20" s="11" t="inlineStr">
        <is>
          <t>Dimensionless Width Ratio (beta = b / sqrt(4*nu*t))</t>
        </is>
      </c>
      <c r="B20" s="37">
        <f>B11 / B18</f>
        <v/>
      </c>
      <c r="C20" s="13" t="inlineStr">
        <is>
          <t>-</t>
        </is>
      </c>
      <c r="D20" s="38" t="inlineStr">
        <is>
          <t>beta = b / sqrt(4*nu*t)</t>
        </is>
      </c>
    </row>
    <row r="21" ht="20" customHeight="1">
      <c r="A21" s="11" t="inlineStr">
        <is>
          <t>Hantush Well Integral Approximation S*(alpha, beta)</t>
        </is>
      </c>
      <c r="B21" s="37">
        <f>4 * B19 * B20 * (1 - 0.33*(B19^2 + B20^2))</f>
        <v/>
      </c>
      <c r="C21" s="13" t="inlineStr">
        <is>
          <t>-</t>
        </is>
      </c>
      <c r="D21" s="38" t="inlineStr">
        <is>
          <t>Analytical approximation of double integral</t>
        </is>
      </c>
    </row>
    <row r="22" ht="20" customHeight="1">
      <c r="A22" s="11" t="inlineStr">
        <is>
          <t>Linearized Head Rise at Center (z_max)</t>
        </is>
      </c>
      <c r="B22" s="30">
        <f>(B6 / (4 * B7 * B9 / B8)) * B18^2 * B21</f>
        <v/>
      </c>
      <c r="C22" s="13" t="inlineStr">
        <is>
          <t>ft</t>
        </is>
      </c>
      <c r="D22" s="14" t="inlineStr">
        <is>
          <t>First-order linearized head increase</t>
        </is>
      </c>
    </row>
    <row r="23" ht="20" customHeight="1">
      <c r="A23" s="11" t="inlineStr">
        <is>
          <t>Unconfined Corrected Mound Height (h_mound)</t>
        </is>
      </c>
      <c r="B23" s="30">
        <f>SQRT(B9^2 + 2*B9*B22) - B9</f>
        <v/>
      </c>
      <c r="C23" s="13" t="inlineStr">
        <is>
          <t>ft</t>
        </is>
      </c>
      <c r="D23" s="14" t="inlineStr">
        <is>
          <t>h_mound = sqrt(D² + 2*D*z_max) - D</t>
        </is>
      </c>
    </row>
    <row r="25" ht="24" customHeight="1">
      <c r="A25" s="3" t="inlineStr">
        <is>
          <t>3. GROUNDWATER SEPARATION &amp; CODE COMPLIANCE CHECK</t>
        </is>
      </c>
    </row>
    <row r="26" ht="22" customHeight="1">
      <c r="A26" s="4" t="inlineStr">
        <is>
          <t>Regulatory Compliance Parameter</t>
        </is>
      </c>
      <c r="B26" s="4" t="inlineStr">
        <is>
          <t>Design Value</t>
        </is>
      </c>
      <c r="C26" s="4" t="inlineStr">
        <is>
          <t>Regulatory Minimum</t>
        </is>
      </c>
      <c r="D26" s="4" t="inlineStr">
        <is>
          <t>Safety Buffer Margin</t>
        </is>
      </c>
      <c r="E26" s="4" t="inlineStr">
        <is>
          <t>Compliance Verification</t>
        </is>
      </c>
    </row>
    <row r="27" ht="20" customHeight="1">
      <c r="A27" s="11" t="inlineStr">
        <is>
          <t>Maximum Groundwater Mound Height</t>
        </is>
      </c>
      <c r="B27" s="30">
        <f>B19</f>
        <v/>
      </c>
      <c r="C27" s="13" t="inlineStr">
        <is>
          <t>ft</t>
        </is>
      </c>
      <c r="D27" s="14" t="inlineStr">
        <is>
          <t>Maximum rise directly beneath basin centroid</t>
        </is>
      </c>
      <c r="E27" s="14" t="inlineStr">
        <is>
          <t>Mound peak</t>
        </is>
      </c>
    </row>
    <row r="28" ht="20" customHeight="1">
      <c r="A28" s="11" t="inlineStr">
        <is>
          <t>Remaining Unsaturated Separation Buffer</t>
        </is>
      </c>
      <c r="B28" s="27">
        <f>B13 - B23</f>
        <v/>
      </c>
      <c r="C28" s="28" t="inlineStr">
        <is>
          <t>ft</t>
        </is>
      </c>
      <c r="D28" s="36" t="inlineStr">
        <is>
          <t>&gt;= 2.0 ft (24 inches)</t>
        </is>
      </c>
      <c r="E28" s="29">
        <f>IF((B13-B23)&gt;=2.0, "PASS - SHWT SEPARATION MAINTAINED", "FAIL - GROUNDWATER BREAKOUT RISK")</f>
        <v/>
      </c>
    </row>
    <row r="29" ht="20" customHeight="1">
      <c r="A29" s="11" t="inlineStr">
        <is>
          <t>Remaining Buffer in Inches</t>
        </is>
      </c>
      <c r="B29" s="39">
        <f>(B13 - B23) * 12</f>
        <v/>
      </c>
      <c r="C29" s="28" t="inlineStr">
        <is>
          <t>inches</t>
        </is>
      </c>
      <c r="D29" s="40" t="inlineStr">
        <is>
          <t>&gt;= 24.0 inches</t>
        </is>
      </c>
      <c r="E29" s="41">
        <f>IF(((B13-B23)*12)&gt;=24.0, "PASS - SHWT &gt;= 24 INCHES", "FAIL - SHWT VIOLATION")</f>
        <v/>
      </c>
    </row>
  </sheetData>
  <mergeCells count="5">
    <mergeCell ref="A1:G1"/>
    <mergeCell ref="A4:G4"/>
    <mergeCell ref="A2:G2"/>
    <mergeCell ref="A15:G15"/>
    <mergeCell ref="A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6" customWidth="1" min="2" max="2"/>
    <col width="27" customWidth="1" min="3" max="3"/>
    <col width="43" customWidth="1" min="4" max="4"/>
    <col width="29" customWidth="1" min="5" max="5"/>
    <col width="12" customWidth="1" min="6" max="6"/>
    <col width="12" customWidth="1" min="7" max="7"/>
  </cols>
  <sheetData>
    <row r="1" ht="28" customHeight="1">
      <c r="A1" s="1" t="inlineStr">
        <is>
          <t>HIGHWAY GEOMETRIC DESIGN &amp; FLEXIBLE PAVEMENT STRUCTURAL NUMBER</t>
        </is>
      </c>
    </row>
    <row r="2" ht="18" customHeight="1">
      <c r="A2" s="2" t="inlineStr">
        <is>
          <t>AASHTO Green Book 7th Ed. • Horizontal &amp; Vertical Curves • Stopping Sight Distance &amp; AASHTO 1993 SN</t>
        </is>
      </c>
    </row>
    <row r="3" ht="10" customHeight="1"/>
    <row r="4" ht="24" customHeight="1">
      <c r="A4" s="3" t="inlineStr">
        <is>
          <t>1. HORIZONTAL CURVE GEOMETRICS (AASHTO)</t>
        </is>
      </c>
    </row>
    <row r="5" ht="22" customHeight="1">
      <c r="A5" s="4" t="inlineStr">
        <is>
          <t>Geometric Curve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Governing AASHTO Equation / Standard</t>
        </is>
      </c>
    </row>
    <row r="6" ht="20" customHeight="1">
      <c r="A6" s="11" t="inlineStr">
        <is>
          <t>Highway Design Speed (V)</t>
        </is>
      </c>
      <c r="B6" s="15" t="n">
        <v>50</v>
      </c>
      <c r="C6" s="13" t="inlineStr">
        <is>
          <t>mph</t>
        </is>
      </c>
      <c r="D6" s="16" t="inlineStr">
        <is>
          <t>Posted/Design operating speed</t>
        </is>
      </c>
    </row>
    <row r="7" ht="20" customHeight="1">
      <c r="A7" s="11" t="inlineStr">
        <is>
          <t>Intersection Deflection Angle (Delta)</t>
        </is>
      </c>
      <c r="B7" s="12" t="n">
        <v>34.5</v>
      </c>
      <c r="C7" s="13" t="inlineStr">
        <is>
          <t>deg</t>
        </is>
      </c>
      <c r="D7" s="14" t="inlineStr">
        <is>
          <t>Total turn deflection between tangents</t>
        </is>
      </c>
    </row>
    <row r="8" ht="20" customHeight="1">
      <c r="A8" s="11" t="inlineStr">
        <is>
          <t>Maximum Superelevation Rate (e_max)</t>
        </is>
      </c>
      <c r="B8" s="42" t="n">
        <v>0.06</v>
      </c>
      <c r="C8" s="13" t="inlineStr">
        <is>
          <t>-</t>
        </is>
      </c>
      <c r="D8" s="43" t="inlineStr">
        <is>
          <t>6.0% maximum roadway superelevation</t>
        </is>
      </c>
    </row>
    <row r="9" ht="20" customHeight="1">
      <c r="A9" s="11" t="inlineStr">
        <is>
          <t>Side Friction Factor (f_s)</t>
        </is>
      </c>
      <c r="B9" s="12" t="n">
        <v>0.14</v>
      </c>
      <c r="C9" s="13" t="inlineStr">
        <is>
          <t>-</t>
        </is>
      </c>
      <c r="D9" s="14" t="inlineStr">
        <is>
          <t>AASHTO maximum side friction for 50 mph</t>
        </is>
      </c>
    </row>
    <row r="10" ht="20" customHeight="1">
      <c r="A10" s="11" t="inlineStr">
        <is>
          <t>Minimum Permissible Curve Radius (R_min)</t>
        </is>
      </c>
      <c r="B10" s="22">
        <f>B6^2 / (15 * (B8 + B9))</f>
        <v/>
      </c>
      <c r="C10" s="13" t="inlineStr">
        <is>
          <t>ft</t>
        </is>
      </c>
      <c r="D10" s="18" t="inlineStr">
        <is>
          <t>R_min = V² / (15 * (e + f))</t>
        </is>
      </c>
    </row>
    <row r="11" ht="20" customHeight="1">
      <c r="A11" s="11" t="inlineStr">
        <is>
          <t>Selected Design Radius (R)</t>
        </is>
      </c>
      <c r="B11" s="17" t="n">
        <v>950</v>
      </c>
      <c r="C11" s="13" t="inlineStr">
        <is>
          <t>ft</t>
        </is>
      </c>
      <c r="D11" s="18" t="inlineStr">
        <is>
          <t>Selected curve radius (must be &gt;= R_min)</t>
        </is>
      </c>
    </row>
    <row r="12" ht="20" customHeight="1">
      <c r="A12" s="11" t="inlineStr">
        <is>
          <t>Degree of Curve (D_c)</t>
        </is>
      </c>
      <c r="B12" s="30">
        <f>5729.578 / B11</f>
        <v/>
      </c>
      <c r="C12" s="13" t="inlineStr">
        <is>
          <t>deg</t>
        </is>
      </c>
      <c r="D12" s="14" t="inlineStr">
        <is>
          <t>D_c = 5729.58 / R</t>
        </is>
      </c>
    </row>
    <row r="13" ht="20" customHeight="1">
      <c r="A13" s="11" t="inlineStr">
        <is>
          <t>Tangent Distance (T)</t>
        </is>
      </c>
      <c r="B13" s="33">
        <f>B11 * TAN(RADIANS(B7 / 2))</f>
        <v/>
      </c>
      <c r="C13" s="13" t="inlineStr">
        <is>
          <t>ft</t>
        </is>
      </c>
      <c r="D13" s="34" t="inlineStr">
        <is>
          <t>T = R * tan(Delta / 2)</t>
        </is>
      </c>
    </row>
    <row r="14" ht="20" customHeight="1">
      <c r="A14" s="11" t="inlineStr">
        <is>
          <t>Curve Length (L)</t>
        </is>
      </c>
      <c r="B14" s="33">
        <f>(PI() * B11 * B7) / 180</f>
        <v/>
      </c>
      <c r="C14" s="13" t="inlineStr">
        <is>
          <t>ft</t>
        </is>
      </c>
      <c r="D14" s="34" t="inlineStr">
        <is>
          <t>L = (pi * R * Delta) / 180</t>
        </is>
      </c>
    </row>
    <row r="15" ht="20" customHeight="1">
      <c r="A15" s="11" t="inlineStr">
        <is>
          <t>External Distance (E)</t>
        </is>
      </c>
      <c r="B15" s="30">
        <f>B11 * (1/COS(RADIANS(B7/2)) - 1)</f>
        <v/>
      </c>
      <c r="C15" s="13" t="inlineStr">
        <is>
          <t>ft</t>
        </is>
      </c>
      <c r="D15" s="14" t="inlineStr">
        <is>
          <t>E = R * (sec(Delta/2) - 1)</t>
        </is>
      </c>
    </row>
    <row r="16" ht="20" customHeight="1">
      <c r="A16" s="11" t="inlineStr">
        <is>
          <t>Middle Ordinate (M)</t>
        </is>
      </c>
      <c r="B16" s="30">
        <f>B11 * (1 - COS(RADIANS(B7/2)))</f>
        <v/>
      </c>
      <c r="C16" s="13" t="inlineStr">
        <is>
          <t>ft</t>
        </is>
      </c>
      <c r="D16" s="14" t="inlineStr">
        <is>
          <t>M = R * (1 - cos(Delta/2))</t>
        </is>
      </c>
    </row>
    <row r="18" ht="24" customHeight="1">
      <c r="A18" s="3" t="inlineStr">
        <is>
          <t>2. STOPPING SIGHT DISTANCE (SSD)</t>
        </is>
      </c>
    </row>
    <row r="19" ht="22" customHeight="1">
      <c r="A19" s="4" t="inlineStr">
        <is>
          <t>Sight Distance Component</t>
        </is>
      </c>
      <c r="B19" s="4" t="inlineStr">
        <is>
          <t>Design Value</t>
        </is>
      </c>
      <c r="C19" s="4" t="inlineStr">
        <is>
          <t>Units</t>
        </is>
      </c>
      <c r="D19" s="4" t="inlineStr">
        <is>
          <t>AASHTO Equation / Factor</t>
        </is>
      </c>
    </row>
    <row r="20" ht="20" customHeight="1">
      <c r="A20" s="11" t="inlineStr">
        <is>
          <t>Driver Reaction Time (t_r)</t>
        </is>
      </c>
      <c r="B20" s="12" t="n">
        <v>2.5</v>
      </c>
      <c r="C20" s="13" t="inlineStr">
        <is>
          <t>s</t>
        </is>
      </c>
      <c r="D20" s="14" t="inlineStr">
        <is>
          <t>AASHTO standard perception-reaction time</t>
        </is>
      </c>
    </row>
    <row r="21" ht="20" customHeight="1">
      <c r="A21" s="11" t="inlineStr">
        <is>
          <t>Braking Deceleration Rate (a)</t>
        </is>
      </c>
      <c r="B21" s="12" t="n">
        <v>11.2</v>
      </c>
      <c r="C21" s="13" t="inlineStr">
        <is>
          <t>ft/s²</t>
        </is>
      </c>
      <c r="D21" s="14" t="inlineStr">
        <is>
          <t>AASHTO standard deceleration</t>
        </is>
      </c>
    </row>
    <row r="22" ht="20" customHeight="1">
      <c r="A22" s="11" t="inlineStr">
        <is>
          <t>Roadway Grade (G)</t>
        </is>
      </c>
      <c r="B22" s="42" t="n">
        <v>-0.02</v>
      </c>
      <c r="C22" s="13" t="inlineStr">
        <is>
          <t>-</t>
        </is>
      </c>
      <c r="D22" s="43" t="inlineStr">
        <is>
          <t>Downhill grade (-2.0%)</t>
        </is>
      </c>
    </row>
    <row r="23" ht="20" customHeight="1">
      <c r="A23" s="11" t="inlineStr">
        <is>
          <t>Perception-Reaction Distance (d_r)</t>
        </is>
      </c>
      <c r="B23" s="22">
        <f>1.47 * B6 * B20</f>
        <v/>
      </c>
      <c r="C23" s="13" t="inlineStr">
        <is>
          <t>ft</t>
        </is>
      </c>
      <c r="D23" s="18" t="inlineStr">
        <is>
          <t>d_r = 1.47 * V * t_r</t>
        </is>
      </c>
    </row>
    <row r="24" ht="20" customHeight="1">
      <c r="A24" s="11" t="inlineStr">
        <is>
          <t>Braking Distance (d_b)</t>
        </is>
      </c>
      <c r="B24" s="22">
        <f>B6^2 / (30 * (B21/32.174 + B22))</f>
        <v/>
      </c>
      <c r="C24" s="13" t="inlineStr">
        <is>
          <t>ft</t>
        </is>
      </c>
      <c r="D24" s="18" t="inlineStr">
        <is>
          <t>d_b = V² / [30 * (a/g ± G)]</t>
        </is>
      </c>
    </row>
    <row r="25" ht="20" customHeight="1">
      <c r="A25" s="11" t="inlineStr">
        <is>
          <t>Total Required Stopping Sight Distance (SSD)</t>
        </is>
      </c>
      <c r="B25" s="22">
        <f>B23 + B24</f>
        <v/>
      </c>
      <c r="C25" s="13" t="inlineStr">
        <is>
          <t>ft</t>
        </is>
      </c>
      <c r="D25" s="18" t="inlineStr">
        <is>
          <t>SSD = d_r + d_b</t>
        </is>
      </c>
    </row>
    <row r="27" ht="24" customHeight="1">
      <c r="A27" s="3" t="inlineStr">
        <is>
          <t>3. AASHTO 1993 FLEXIBLE PAVEMENT STRUCTURAL NUMBER (SN)</t>
        </is>
      </c>
    </row>
    <row r="28" ht="22" customHeight="1">
      <c r="A28" s="4" t="inlineStr">
        <is>
          <t>Pavement Layer Description</t>
        </is>
      </c>
      <c r="B28" s="4" t="inlineStr">
        <is>
          <t>Structural Coeff (a_i)</t>
        </is>
      </c>
      <c r="C28" s="4" t="inlineStr">
        <is>
          <t>Layer Thickness D_i (in)</t>
        </is>
      </c>
      <c r="D28" s="4" t="inlineStr">
        <is>
          <t>Drainage Coeff (m_i)</t>
        </is>
      </c>
      <c r="E28" s="4" t="inlineStr">
        <is>
          <t>Layer Contribution (a*D*m)</t>
        </is>
      </c>
    </row>
    <row r="29" ht="20" customHeight="1">
      <c r="A29" s="11" t="inlineStr">
        <is>
          <t>Layer 1: HMA Asphalt Surface Course</t>
        </is>
      </c>
      <c r="B29" s="12" t="n">
        <v>0.44</v>
      </c>
      <c r="C29" s="20" t="n">
        <v>4</v>
      </c>
      <c r="D29" s="30" t="n">
        <v>1</v>
      </c>
      <c r="E29" s="30">
        <f>B29 * C29 * D29</f>
        <v/>
      </c>
    </row>
    <row r="30" ht="20" customHeight="1">
      <c r="A30" s="11" t="inlineStr">
        <is>
          <t>Layer 2: Crushed Stone Base Course</t>
        </is>
      </c>
      <c r="B30" s="12" t="n">
        <v>0.14</v>
      </c>
      <c r="C30" s="20" t="n">
        <v>8</v>
      </c>
      <c r="D30" s="30" t="n">
        <v>1</v>
      </c>
      <c r="E30" s="30">
        <f>B30 * C30 * D30</f>
        <v/>
      </c>
    </row>
    <row r="31" ht="20" customHeight="1">
      <c r="A31" s="11" t="inlineStr">
        <is>
          <t>Layer 3: Granular Subbase Course</t>
        </is>
      </c>
      <c r="B31" s="12" t="n">
        <v>0.11</v>
      </c>
      <c r="C31" s="20" t="n">
        <v>6</v>
      </c>
      <c r="D31" s="30" t="n">
        <v>1</v>
      </c>
      <c r="E31" s="30">
        <f>B31 * C31 * D31</f>
        <v/>
      </c>
    </row>
    <row r="32" ht="20" customHeight="1">
      <c r="A32" s="23" t="inlineStr">
        <is>
          <t>TOTAL PAVEMENT STRUCTURAL NUMBER (SN)</t>
        </is>
      </c>
      <c r="B32" s="44" t="inlineStr">
        <is>
          <t>-</t>
        </is>
      </c>
      <c r="C32" s="25" t="n">
        <v>18</v>
      </c>
      <c r="D32" s="44" t="inlineStr">
        <is>
          <t>-</t>
        </is>
      </c>
      <c r="E32" s="45">
        <f>E29 + E30 + E31</f>
        <v/>
      </c>
    </row>
  </sheetData>
  <mergeCells count="5">
    <mergeCell ref="A1:G1"/>
    <mergeCell ref="A18:G18"/>
    <mergeCell ref="A27:G27"/>
    <mergeCell ref="A4:G4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36" customWidth="1" min="2" max="2"/>
    <col width="18" customWidth="1" min="3" max="3"/>
    <col width="56" customWidth="1" min="4" max="4"/>
    <col width="51" customWidth="1" min="5" max="5"/>
    <col width="12" customWidth="1" min="6" max="6"/>
    <col width="12" customWidth="1" min="7" max="7"/>
  </cols>
  <sheetData>
    <row r="1" ht="28" customHeight="1">
      <c r="A1" s="1" t="inlineStr">
        <is>
          <t>COUNTY GIS GEOREFERENCING &amp; SUBDIVISION PLAT BOUNDARY SOLVER</t>
        </is>
      </c>
    </row>
    <row r="2" ht="18" customHeight="1">
      <c r="A2" s="2" t="inlineStr">
        <is>
          <t>Permanent Agent Rules 1 &amp; 2 • Natural WGS84 GPS Coordinates • P.I. Angle Bar Glyphs &amp; Tangent Cut-Backs</t>
        </is>
      </c>
    </row>
    <row r="3" ht="10" customHeight="1"/>
    <row r="4" ht="24" customHeight="1">
      <c r="A4" s="3" t="inlineStr">
        <is>
          <t>1. RULE 1: NATURAL GROUND-TRUTHED GPS COORDINATES (NO ARTIFICIAL FUDGING)</t>
        </is>
      </c>
    </row>
    <row r="5" ht="22" customHeight="1">
      <c r="A5" s="4" t="inlineStr">
        <is>
          <t>Survey Intersection Node</t>
        </is>
      </c>
      <c r="B5" s="4" t="inlineStr">
        <is>
          <t>WGS84 Latitude</t>
        </is>
      </c>
      <c r="C5" s="4" t="inlineStr">
        <is>
          <t>WGS84 Longitude</t>
        </is>
      </c>
      <c r="D5" s="4" t="inlineStr">
        <is>
          <t>Fudging Check</t>
        </is>
      </c>
      <c r="E5" s="4" t="inlineStr">
        <is>
          <t>Physical Coordinate Rule Status</t>
        </is>
      </c>
    </row>
    <row r="6" ht="20" customHeight="1">
      <c r="A6" s="11" t="inlineStr">
        <is>
          <t>Node 1: Main Street &amp; East 8th Street</t>
        </is>
      </c>
      <c r="B6" s="46" t="n">
        <v>30.345753</v>
      </c>
      <c r="C6" s="20" t="n">
        <v>-81.653909</v>
      </c>
      <c r="D6" s="47" t="inlineStr">
        <is>
          <t>0.00 ft artificial shift</t>
        </is>
      </c>
      <c r="E6" s="47" t="inlineStr">
        <is>
          <t>PASS - TRUE GROUND COORDINATE (Rule 1 Compliant)</t>
        </is>
      </c>
    </row>
    <row r="7" ht="20" customHeight="1">
      <c r="A7" s="11" t="inlineStr">
        <is>
          <t>Node 2: Main Street &amp; East 9th Street</t>
        </is>
      </c>
      <c r="B7" s="46" t="n">
        <v>30.34685</v>
      </c>
      <c r="C7" s="20" t="n">
        <v>-81.653909</v>
      </c>
      <c r="D7" s="47" t="inlineStr">
        <is>
          <t>0.00 ft artificial shift</t>
        </is>
      </c>
      <c r="E7" s="47" t="inlineStr">
        <is>
          <t>PASS - TRUE GROUND COORDINATE (Rule 1 Compliant)</t>
        </is>
      </c>
    </row>
    <row r="8" ht="20" customHeight="1">
      <c r="A8" s="11" t="inlineStr">
        <is>
          <t>Node 3: Market Street &amp; East 8th Street</t>
        </is>
      </c>
      <c r="B8" s="46" t="n">
        <v>30.345753</v>
      </c>
      <c r="C8" s="20" t="n">
        <v>-81.65251000000001</v>
      </c>
      <c r="D8" s="47" t="inlineStr">
        <is>
          <t>0.00 ft artificial shift</t>
        </is>
      </c>
      <c r="E8" s="47" t="inlineStr">
        <is>
          <t>PASS - TRUE GROUND COORDINATE (Rule 1 Compliant)</t>
        </is>
      </c>
    </row>
    <row r="10" ht="24" customHeight="1">
      <c r="A10" s="3" t="inlineStr">
        <is>
          <t>2. RULE 2: P.I. ANGLE BAR GLYPH &amp; DYNAMIC TANGENT CURVE CUT-BACK</t>
        </is>
      </c>
    </row>
    <row r="11" ht="22" customHeight="1">
      <c r="A11" s="4" t="inlineStr">
        <is>
          <t>Plat Dimension Parameter</t>
        </is>
      </c>
      <c r="B11" s="4" t="inlineStr">
        <is>
          <t>Design Value</t>
        </is>
      </c>
      <c r="C11" s="4" t="inlineStr">
        <is>
          <t>Units</t>
        </is>
      </c>
      <c r="D11" s="4" t="inlineStr">
        <is>
          <t>Governing Formula / Surveyor Rule</t>
        </is>
      </c>
    </row>
    <row r="12" ht="20" customHeight="1">
      <c r="A12" s="11" t="inlineStr">
        <is>
          <t>Stated Plat Course Dimension to P.I. (L_stated)</t>
        </is>
      </c>
      <c r="B12" s="12" t="n">
        <v>150</v>
      </c>
      <c r="C12" s="13" t="inlineStr">
        <is>
          <t>ft</t>
        </is>
      </c>
      <c r="D12" s="14" t="inlineStr">
        <is>
          <t>L-shaped corner angle bar indicates tangent to P.I.</t>
        </is>
      </c>
    </row>
    <row r="13" ht="20" customHeight="1">
      <c r="A13" s="11" t="inlineStr">
        <is>
          <t>Tangent 1 Bearing Azimuth (North-South)</t>
        </is>
      </c>
      <c r="B13" s="15" t="n">
        <v>180</v>
      </c>
      <c r="C13" s="13" t="inlineStr">
        <is>
          <t>deg</t>
        </is>
      </c>
      <c r="D13" s="16" t="inlineStr">
        <is>
          <t>Tangent 1 along Right-of-Way</t>
        </is>
      </c>
    </row>
    <row r="14" ht="20" customHeight="1">
      <c r="A14" s="11" t="inlineStr">
        <is>
          <t>Tangent 2 Bearing Azimuth (East-West)</t>
        </is>
      </c>
      <c r="B14" s="15" t="n">
        <v>90</v>
      </c>
      <c r="C14" s="13" t="inlineStr">
        <is>
          <t>deg</t>
        </is>
      </c>
      <c r="D14" s="16" t="inlineStr">
        <is>
          <t>Tangent 2 along Intersecting Street</t>
        </is>
      </c>
    </row>
    <row r="15" ht="20" customHeight="1">
      <c r="A15" s="11" t="inlineStr">
        <is>
          <t>Central Turn Angle (Delta)</t>
        </is>
      </c>
      <c r="B15" s="30">
        <f>ABS(B14 - B13)</f>
        <v/>
      </c>
      <c r="C15" s="13" t="inlineStr">
        <is>
          <t>deg</t>
        </is>
      </c>
      <c r="D15" s="14" t="inlineStr">
        <is>
          <t>Delta = |Azimuth_2 - Azimuth_1|</t>
        </is>
      </c>
    </row>
    <row r="16" ht="20" customHeight="1">
      <c r="A16" s="11" t="inlineStr">
        <is>
          <t>Corner Return Fillet Radius (R)</t>
        </is>
      </c>
      <c r="B16" s="12" t="n">
        <v>25</v>
      </c>
      <c r="C16" s="13" t="inlineStr">
        <is>
          <t>ft</t>
        </is>
      </c>
      <c r="D16" s="14" t="inlineStr">
        <is>
          <t>Standard municipal street curb fillet radius</t>
        </is>
      </c>
    </row>
    <row r="17" ht="20" customHeight="1">
      <c r="A17" s="11" t="inlineStr">
        <is>
          <t>Dynamic Tangent Distance (T)</t>
        </is>
      </c>
      <c r="B17" s="30">
        <f>B16 * TAN(RADIANS(B15 / 2))</f>
        <v/>
      </c>
      <c r="C17" s="13" t="inlineStr">
        <is>
          <t>ft</t>
        </is>
      </c>
      <c r="D17" s="14" t="inlineStr">
        <is>
          <t>T = R * tan(Delta / 2) (Dynamic Curve Solver)</t>
        </is>
      </c>
    </row>
    <row r="18" ht="20" customHeight="1">
      <c r="A18" s="11" t="inlineStr">
        <is>
          <t>True Boundary Line Length to P.C. (L_pc)</t>
        </is>
      </c>
      <c r="B18" s="30">
        <f>B12 - B17</f>
        <v/>
      </c>
      <c r="C18" s="13" t="inlineStr">
        <is>
          <t>ft</t>
        </is>
      </c>
      <c r="D18" s="14" t="inlineStr">
        <is>
          <t>Length_to_PC = Stated_to_PI - T (Rule 2 Cut-Back)</t>
        </is>
      </c>
    </row>
    <row r="19" ht="20" customHeight="1">
      <c r="A19" s="11" t="inlineStr">
        <is>
          <t>Circular Arc Length of Fillet (L_arc)</t>
        </is>
      </c>
      <c r="B19" s="30">
        <f>(PI() * B16 * B15) / 180</f>
        <v/>
      </c>
      <c r="C19" s="13" t="inlineStr">
        <is>
          <t>ft</t>
        </is>
      </c>
      <c r="D19" s="14" t="inlineStr">
        <is>
          <t>L_arc = (pi * R * Delta) / 180</t>
        </is>
      </c>
    </row>
    <row r="21" ht="24" customHeight="1">
      <c r="A21" s="3" t="inlineStr">
        <is>
          <t>3. NET PARCEL AREA DEDUCTION (CORNER FILLET ADJUSTMENT)</t>
        </is>
      </c>
    </row>
    <row r="22" ht="22" customHeight="1">
      <c r="A22" s="4" t="inlineStr">
        <is>
          <t>Area Component</t>
        </is>
      </c>
      <c r="B22" s="4" t="inlineStr">
        <is>
          <t>Calculated Area (sq ft)</t>
        </is>
      </c>
      <c r="C22" s="4" t="inlineStr">
        <is>
          <t>Area (Acres)</t>
        </is>
      </c>
      <c r="D22" s="4" t="inlineStr">
        <is>
          <t>Area Formulation / Geometric Adjustment</t>
        </is>
      </c>
    </row>
    <row r="23" ht="20" customHeight="1">
      <c r="A23" s="11" t="inlineStr">
        <is>
          <t>Gross Rectangular Bounding Lot Area</t>
        </is>
      </c>
      <c r="B23" s="33">
        <f>B12 * B12</f>
        <v/>
      </c>
      <c r="C23" s="20">
        <f>B23 / 43560</f>
        <v/>
      </c>
      <c r="D23" s="34" t="inlineStr">
        <is>
          <t>Gross Rectangular = L_stated * W_stated</t>
        </is>
      </c>
    </row>
    <row r="24" ht="20" customHeight="1">
      <c r="A24" s="11" t="inlineStr">
        <is>
          <t>Circular Corner Fillet Cut-Back Area (A_fillet)</t>
        </is>
      </c>
      <c r="B24" s="30">
        <f>B16*B17 - 0.5*B16^2*RADIANS(B15)</f>
        <v/>
      </c>
      <c r="C24" s="20">
        <f>B24 / 43560</f>
        <v/>
      </c>
      <c r="D24" s="14" t="inlineStr">
        <is>
          <t>A_fillet = R * T - 0.5 * R² * Delta_rad</t>
        </is>
      </c>
    </row>
    <row r="25" ht="20" customHeight="1">
      <c r="A25" s="23" t="inlineStr">
        <is>
          <t>NET SURVEYOR PARCEL AREA</t>
        </is>
      </c>
      <c r="B25" s="48">
        <f>B23 - B24</f>
        <v/>
      </c>
      <c r="C25" s="25">
        <f>B25 / 43560</f>
        <v/>
      </c>
      <c r="D25" s="49" t="inlineStr">
        <is>
          <t>Net Area = Gross Area - A_fillet (Accurate Plat Area)</t>
        </is>
      </c>
    </row>
  </sheetData>
  <mergeCells count="5">
    <mergeCell ref="A1:G1"/>
    <mergeCell ref="A21:G21"/>
    <mergeCell ref="A4:G4"/>
    <mergeCell ref="A2:G2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12" customWidth="1" min="3" max="3"/>
    <col width="58" customWidth="1" min="4" max="4"/>
    <col width="78" customWidth="1" min="5" max="5"/>
    <col width="12" customWidth="1" min="6" max="6"/>
    <col width="12" customWidth="1" min="7" max="7"/>
  </cols>
  <sheetData>
    <row r="1" ht="28" customHeight="1">
      <c r="A1" s="1" t="inlineStr">
        <is>
          <t>WASTEWATER COLLECTION, WET WELL DESIGN &amp; PUMP HYDRAULICS</t>
        </is>
      </c>
    </row>
    <row r="2" ht="18" customHeight="1">
      <c r="A2" s="2" t="inlineStr">
        <is>
          <t>10-States Standards • Manning Gravity Sewer • Duplex N-1 Firm Capacity &amp; Hazen-Williams Force Main</t>
        </is>
      </c>
    </row>
    <row r="3" ht="10" customHeight="1"/>
    <row r="4" ht="24" customHeight="1">
      <c r="A4" s="3" t="inlineStr">
        <is>
          <t>1. GRAVITY SEWER INFLOW LINE (MANNINGS EQUATION)</t>
        </is>
      </c>
    </row>
    <row r="5" ht="22" customHeight="1">
      <c r="A5" s="4" t="inlineStr">
        <is>
          <t>Sewer Pipe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Governing 10-States Standards Equation</t>
        </is>
      </c>
    </row>
    <row r="6" ht="20" customHeight="1">
      <c r="A6" s="11" t="inlineStr">
        <is>
          <t>Pipe Inside Diameter (D)</t>
        </is>
      </c>
      <c r="B6" s="15" t="n">
        <v>12</v>
      </c>
      <c r="C6" s="13" t="inlineStr">
        <is>
          <t>inches</t>
        </is>
      </c>
      <c r="D6" s="16" t="inlineStr">
        <is>
          <t>Nominal PVC gravity sewer diameter</t>
        </is>
      </c>
    </row>
    <row r="7" ht="20" customHeight="1">
      <c r="A7" s="11" t="inlineStr">
        <is>
          <t>Manning Roughness Coefficient (n)</t>
        </is>
      </c>
      <c r="B7" s="50" t="n">
        <v>0.013</v>
      </c>
      <c r="C7" s="13" t="inlineStr">
        <is>
          <t>-</t>
        </is>
      </c>
      <c r="D7" s="38" t="inlineStr">
        <is>
          <t>Smooth interior plastic / PVC pipe</t>
        </is>
      </c>
    </row>
    <row r="8" ht="20" customHeight="1">
      <c r="A8" s="11" t="inlineStr">
        <is>
          <t>Sewer Slope (S)</t>
        </is>
      </c>
      <c r="B8" s="51" t="n">
        <v>0.004</v>
      </c>
      <c r="C8" s="13" t="inlineStr">
        <is>
          <t>ft/ft</t>
        </is>
      </c>
      <c r="D8" s="21" t="inlineStr">
        <is>
          <t>0.40% minimum regulatory scouring slope</t>
        </is>
      </c>
    </row>
    <row r="9" ht="20" customHeight="1">
      <c r="A9" s="11" t="inlineStr">
        <is>
          <t>Full Flow Cross-Sectional Area (A_full)</t>
        </is>
      </c>
      <c r="B9" s="37">
        <f>(PI()/4) * (B6/12)^2</f>
        <v/>
      </c>
      <c r="C9" s="13" t="inlineStr">
        <is>
          <t>sq ft</t>
        </is>
      </c>
      <c r="D9" s="38" t="inlineStr">
        <is>
          <t>A = pi * (D/12)² / 4</t>
        </is>
      </c>
    </row>
    <row r="10" ht="20" customHeight="1">
      <c r="A10" s="11" t="inlineStr">
        <is>
          <t>Full Flow Hydraulic Radius (R_full)</t>
        </is>
      </c>
      <c r="B10" s="37">
        <f>(B6/12) / 4</f>
        <v/>
      </c>
      <c r="C10" s="13" t="inlineStr">
        <is>
          <t>ft</t>
        </is>
      </c>
      <c r="D10" s="38" t="inlineStr">
        <is>
          <t>R_h = D / 4 for circular pipe full</t>
        </is>
      </c>
    </row>
    <row r="11" ht="20" customHeight="1">
      <c r="A11" s="11" t="inlineStr">
        <is>
          <t>Full Flow Velocity (V_full)</t>
        </is>
      </c>
      <c r="B11" s="30">
        <f>(1.486 / B7) * B10^(2/3) * SQRT(B8)</f>
        <v/>
      </c>
      <c r="C11" s="13" t="inlineStr">
        <is>
          <t>fps</t>
        </is>
      </c>
      <c r="D11" s="14" t="inlineStr">
        <is>
          <t>V = (1.486/n) * R^(2/3) * S^(1/2)</t>
        </is>
      </c>
    </row>
    <row r="12" ht="20" customHeight="1">
      <c r="A12" s="11" t="inlineStr">
        <is>
          <t>Full Flow Capacity (Q_full)</t>
        </is>
      </c>
      <c r="B12" s="22">
        <f>B11 * B9 * 448.83</f>
        <v/>
      </c>
      <c r="C12" s="13" t="inlineStr">
        <is>
          <t>gpm</t>
        </is>
      </c>
      <c r="D12" s="18" t="inlineStr">
        <is>
          <t>Q = V * A (converted to gpm)</t>
        </is>
      </c>
    </row>
    <row r="13" ht="20" customHeight="1">
      <c r="A13" s="11" t="inlineStr">
        <is>
          <t>Scouring Velocity Check (&gt;= 2.0 fps)</t>
        </is>
      </c>
      <c r="B13" s="27">
        <f>B11</f>
        <v/>
      </c>
      <c r="C13" s="28" t="inlineStr">
        <is>
          <t>fps</t>
        </is>
      </c>
      <c r="D13" s="36" t="inlineStr">
        <is>
          <t>10-States Standards § 33.41 requirement</t>
        </is>
      </c>
      <c r="E13" s="29">
        <f>IF(B11&gt;=2.0, "PASS - SCOURING VELOCITY MAINTAINED", "FAIL - SLUGGING RISK")</f>
        <v/>
      </c>
    </row>
    <row r="15" ht="24" customHeight="1">
      <c r="A15" s="3" t="inlineStr">
        <is>
          <t>2. WET WELL SIZING &amp; CYCLE TIME (DUPLEX PUMPS)</t>
        </is>
      </c>
    </row>
    <row r="16" ht="22" customHeight="1">
      <c r="A16" s="4" t="inlineStr">
        <is>
          <t>Wet Well Parameter</t>
        </is>
      </c>
      <c r="B16" s="4" t="inlineStr">
        <is>
          <t>Design Value</t>
        </is>
      </c>
      <c r="C16" s="4" t="inlineStr">
        <is>
          <t>Units</t>
        </is>
      </c>
      <c r="D16" s="4" t="inlineStr">
        <is>
          <t>Design Equation / Pump Cycle Criteria</t>
        </is>
      </c>
    </row>
    <row r="17" ht="20" customHeight="1">
      <c r="A17" s="11" t="inlineStr">
        <is>
          <t>Peak Design Inflow Rate (Q_in)</t>
        </is>
      </c>
      <c r="B17" s="17" t="n">
        <v>350</v>
      </c>
      <c r="C17" s="13" t="inlineStr">
        <is>
          <t>gpm</t>
        </is>
      </c>
      <c r="D17" s="18" t="inlineStr">
        <is>
          <t>Peak wastewater flow arriving at station</t>
        </is>
      </c>
    </row>
    <row r="18" ht="20" customHeight="1">
      <c r="A18" s="11" t="inlineStr">
        <is>
          <t>Rated Single Pump Capacity (Q_p)</t>
        </is>
      </c>
      <c r="B18" s="17" t="n">
        <v>500</v>
      </c>
      <c r="C18" s="13" t="inlineStr">
        <is>
          <t>gpm</t>
        </is>
      </c>
      <c r="D18" s="18" t="inlineStr">
        <is>
          <t>100% N-1 firm capacity per pump</t>
        </is>
      </c>
    </row>
    <row r="19" ht="20" customHeight="1">
      <c r="A19" s="11" t="inlineStr">
        <is>
          <t>Minimum Pump Cycle Time (T_min)</t>
        </is>
      </c>
      <c r="B19" s="15" t="n">
        <v>15</v>
      </c>
      <c r="C19" s="13" t="inlineStr">
        <is>
          <t>minutes</t>
        </is>
      </c>
      <c r="D19" s="16" t="inlineStr">
        <is>
          <t>Maximum 4 pump starts per hour (motor protection)</t>
        </is>
      </c>
    </row>
    <row r="20" ht="20" customHeight="1">
      <c r="A20" s="11" t="inlineStr">
        <is>
          <t>Required Active Liquid Volume (V_active)</t>
        </is>
      </c>
      <c r="B20" s="22">
        <f>(B19 * B18) / 4</f>
        <v/>
      </c>
      <c r="C20" s="13" t="inlineStr">
        <is>
          <t>gallons</t>
        </is>
      </c>
      <c r="D20" s="18" t="inlineStr">
        <is>
          <t>V_active = (T_min * Q_p) / 4</t>
        </is>
      </c>
    </row>
    <row r="21" ht="20" customHeight="1">
      <c r="A21" s="11" t="inlineStr">
        <is>
          <t>Active Volume in Cubic Feet</t>
        </is>
      </c>
      <c r="B21" s="22">
        <f>B20 / 7.48052</f>
        <v/>
      </c>
      <c r="C21" s="13" t="inlineStr">
        <is>
          <t>cu ft</t>
        </is>
      </c>
      <c r="D21" s="18" t="inlineStr">
        <is>
          <t>1 cu ft = 7.48 gallons</t>
        </is>
      </c>
    </row>
    <row r="22" ht="20" customHeight="1">
      <c r="A22" s="11" t="inlineStr">
        <is>
          <t>Wet Well Inside Diameter (D_ww)</t>
        </is>
      </c>
      <c r="B22" s="15" t="n">
        <v>8</v>
      </c>
      <c r="C22" s="13" t="inlineStr">
        <is>
          <t>ft</t>
        </is>
      </c>
      <c r="D22" s="16" t="inlineStr">
        <is>
          <t>Circular precast concrete wet well diameter</t>
        </is>
      </c>
    </row>
    <row r="23" ht="20" customHeight="1">
      <c r="A23" s="11" t="inlineStr">
        <is>
          <t>Wet Well Cross-Sectional Area</t>
        </is>
      </c>
      <c r="B23" s="30">
        <f>(PI()/4) * B22^2</f>
        <v/>
      </c>
      <c r="C23" s="13" t="inlineStr">
        <is>
          <t>sq ft</t>
        </is>
      </c>
      <c r="D23" s="14" t="inlineStr">
        <is>
          <t>A_ww = pi * D_ww² / 4</t>
        </is>
      </c>
    </row>
    <row r="24" ht="20" customHeight="1">
      <c r="A24" s="11" t="inlineStr">
        <is>
          <t>Active Liquid Depth Operating Range (delta_z)</t>
        </is>
      </c>
      <c r="B24" s="30">
        <f>B21 / B23</f>
        <v/>
      </c>
      <c r="C24" s="13" t="inlineStr">
        <is>
          <t>ft</t>
        </is>
      </c>
      <c r="D24" s="14" t="inlineStr">
        <is>
          <t>Liquid level span between Pump ON and Pump OFF</t>
        </is>
      </c>
    </row>
    <row r="26" ht="24" customHeight="1">
      <c r="A26" s="3" t="inlineStr">
        <is>
          <t>3. HAZEN-WILLIAMS FORCE MAIN HYDRAULICS &amp; PUMP BHP</t>
        </is>
      </c>
    </row>
    <row r="27" ht="22" customHeight="1">
      <c r="A27" s="4" t="inlineStr">
        <is>
          <t>Hydraulic Force Main Parameter</t>
        </is>
      </c>
      <c r="B27" s="4" t="inlineStr">
        <is>
          <t>Design Value</t>
        </is>
      </c>
      <c r="C27" s="4" t="inlineStr">
        <is>
          <t>Units</t>
        </is>
      </c>
      <c r="D27" s="4" t="inlineStr">
        <is>
          <t>Governing Hydraulic Formula</t>
        </is>
      </c>
    </row>
    <row r="28" ht="20" customHeight="1">
      <c r="A28" s="11" t="inlineStr">
        <is>
          <t>Force Main Pipe Diameter (D_fm)</t>
        </is>
      </c>
      <c r="B28" s="15" t="n">
        <v>6</v>
      </c>
      <c r="C28" s="13" t="inlineStr">
        <is>
          <t>inches</t>
        </is>
      </c>
      <c r="D28" s="16" t="inlineStr">
        <is>
          <t>C900 PVC pressure pipe</t>
        </is>
      </c>
    </row>
    <row r="29" ht="20" customHeight="1">
      <c r="A29" s="11" t="inlineStr">
        <is>
          <t>Force Main Total Length (L_fm)</t>
        </is>
      </c>
      <c r="B29" s="17" t="n">
        <v>1800</v>
      </c>
      <c r="C29" s="13" t="inlineStr">
        <is>
          <t>ft</t>
        </is>
      </c>
      <c r="D29" s="18" t="inlineStr">
        <is>
          <t>Discharge manifold to gravity discharge point</t>
        </is>
      </c>
    </row>
    <row r="30" ht="20" customHeight="1">
      <c r="A30" s="11" t="inlineStr">
        <is>
          <t>Hazen-Williams C Factor</t>
        </is>
      </c>
      <c r="B30" s="15" t="n">
        <v>130</v>
      </c>
      <c r="C30" s="13" t="inlineStr">
        <is>
          <t>-</t>
        </is>
      </c>
      <c r="D30" s="16" t="inlineStr">
        <is>
          <t>Smooth plastic PVC force main</t>
        </is>
      </c>
    </row>
    <row r="31" ht="20" customHeight="1">
      <c r="A31" s="11" t="inlineStr">
        <is>
          <t>Static Head Lift (Z_static)</t>
        </is>
      </c>
      <c r="B31" s="12" t="n">
        <v>42</v>
      </c>
      <c r="C31" s="13" t="inlineStr">
        <is>
          <t>ft</t>
        </is>
      </c>
      <c r="D31" s="14" t="inlineStr">
        <is>
          <t>Discharge manhole invert minus wet well low water level</t>
        </is>
      </c>
    </row>
    <row r="32" ht="20" customHeight="1">
      <c r="A32" s="11" t="inlineStr">
        <is>
          <t>Force Main Velocity (V_fm)</t>
        </is>
      </c>
      <c r="B32" s="30">
        <f>(B18 / 448.83) / ((PI()/4)*(B28/12)^2)</f>
        <v/>
      </c>
      <c r="C32" s="13" t="inlineStr">
        <is>
          <t>fps</t>
        </is>
      </c>
      <c r="D32" s="14" t="inlineStr">
        <is>
          <t>Velocity check: 2.0 to 8.0 fps permissible</t>
        </is>
      </c>
    </row>
    <row r="33" ht="20" customHeight="1">
      <c r="A33" s="11" t="inlineStr">
        <is>
          <t>Friction Head Loss (h_f)</t>
        </is>
      </c>
      <c r="B33" s="30">
        <f>10.44 * B29 * B18^1.852 / (B30^1.852 * B28^4.87)</f>
        <v/>
      </c>
      <c r="C33" s="13" t="inlineStr">
        <is>
          <t>ft</t>
        </is>
      </c>
      <c r="D33" s="14" t="inlineStr">
        <is>
          <t>Hazen-Williams pressure loss formula</t>
        </is>
      </c>
    </row>
    <row r="34" ht="20" customHeight="1">
      <c r="A34" s="11" t="inlineStr">
        <is>
          <t>Fittings Minor Losses (h_m)</t>
        </is>
      </c>
      <c r="B34" s="30">
        <f>0.10 * B33</f>
        <v/>
      </c>
      <c r="C34" s="13" t="inlineStr">
        <is>
          <t>ft</t>
        </is>
      </c>
      <c r="D34" s="14" t="inlineStr">
        <is>
          <t>Valves, tees, check valves (10% of friction)</t>
        </is>
      </c>
    </row>
    <row r="35" ht="20" customHeight="1">
      <c r="A35" s="11" t="inlineStr">
        <is>
          <t>Total Dynamic Head (TDH)</t>
        </is>
      </c>
      <c r="B35" s="30">
        <f>B31 + B33 + B34</f>
        <v/>
      </c>
      <c r="C35" s="13" t="inlineStr">
        <is>
          <t>ft</t>
        </is>
      </c>
      <c r="D35" s="14" t="inlineStr">
        <is>
          <t>TDH = Z_static + h_f + h_minor</t>
        </is>
      </c>
    </row>
    <row r="36" ht="20" customHeight="1">
      <c r="A36" s="11" t="inlineStr">
        <is>
          <t>Pump Hydraulic Efficiency (eta)</t>
        </is>
      </c>
      <c r="B36" s="12" t="n">
        <v>0.72</v>
      </c>
      <c r="C36" s="13" t="inlineStr">
        <is>
          <t>-</t>
        </is>
      </c>
      <c r="D36" s="14" t="inlineStr">
        <is>
          <t>Wire-to-water combined pump/motor efficiency</t>
        </is>
      </c>
    </row>
    <row r="37" ht="20" customHeight="1">
      <c r="A37" s="11" t="inlineStr">
        <is>
          <t>Brake Horsepower Required (BHP)</t>
        </is>
      </c>
      <c r="B37" s="30">
        <f>(B18 * B35) / (3960 * B36)</f>
        <v/>
      </c>
      <c r="C37" s="13" t="inlineStr">
        <is>
          <t>HP</t>
        </is>
      </c>
      <c r="D37" s="14" t="inlineStr">
        <is>
          <t>BHP = (Q * TDH) / (3960 * eta)</t>
        </is>
      </c>
    </row>
    <row r="38" ht="20" customHeight="1">
      <c r="A38" s="11" t="inlineStr">
        <is>
          <t>Recommended Motor Nameplate Size</t>
        </is>
      </c>
      <c r="B38" s="52">
        <f>ROUNDUP(B37 * 1.15, 0)</f>
        <v/>
      </c>
      <c r="C38" s="13" t="inlineStr">
        <is>
          <t>HP</t>
        </is>
      </c>
      <c r="D38" s="53" t="inlineStr">
        <is>
          <t>Standard NEMA motor with 15% safety margin</t>
        </is>
      </c>
    </row>
  </sheetData>
  <mergeCells count="5">
    <mergeCell ref="A1:G1"/>
    <mergeCell ref="A4:G4"/>
    <mergeCell ref="A26:G26"/>
    <mergeCell ref="A2:G2"/>
    <mergeCell ref="A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07" customWidth="1" min="2" max="2"/>
    <col width="12" customWidth="1" min="3" max="3"/>
    <col width="49" customWidth="1" min="4" max="4"/>
    <col width="93" customWidth="1" min="5" max="5"/>
    <col width="12" customWidth="1" min="6" max="6"/>
    <col width="12" customWidth="1" min="7" max="7"/>
  </cols>
  <sheetData>
    <row r="1" ht="28" customHeight="1">
      <c r="A1" s="1" t="inlineStr">
        <is>
          <t>HIGHWAY DRAINAGE, GUTTER SPREAD &amp; CULVERT HYDRAULICS</t>
        </is>
      </c>
    </row>
    <row r="2" ht="18" customHeight="1">
      <c r="A2" s="2" t="inlineStr">
        <is>
          <t>Rational Method • FHWA HEC-22 Curb Spread • FHWA HDS-5 Culvert Headwater (Inlet vs. Outlet Control)</t>
        </is>
      </c>
    </row>
    <row r="3" ht="10" customHeight="1"/>
    <row r="4" ht="24" customHeight="1">
      <c r="A4" s="3" t="inlineStr">
        <is>
          <t>1. RATIONAL PEAK FLOW &amp; NOAA ATLAS 14 RAINFALL INTENSITY</t>
        </is>
      </c>
    </row>
    <row r="5" ht="22" customHeight="1">
      <c r="A5" s="4" t="inlineStr">
        <is>
          <t>Hydrologic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Governing Equation / Source</t>
        </is>
      </c>
    </row>
    <row r="6" ht="20" customHeight="1">
      <c r="A6" s="11" t="inlineStr">
        <is>
          <t>Drainage Basin Area (A)</t>
        </is>
      </c>
      <c r="B6" s="12" t="n">
        <v>8.5</v>
      </c>
      <c r="C6" s="13" t="inlineStr">
        <is>
          <t>acres</t>
        </is>
      </c>
      <c r="D6" s="14" t="inlineStr">
        <is>
          <t>Commercial corridor catchment area</t>
        </is>
      </c>
    </row>
    <row r="7" ht="20" customHeight="1">
      <c r="A7" s="11" t="inlineStr">
        <is>
          <t>Composite Runoff Coefficient (C)</t>
        </is>
      </c>
      <c r="B7" s="12" t="n">
        <v>0.72</v>
      </c>
      <c r="C7" s="13" t="inlineStr">
        <is>
          <t>-</t>
        </is>
      </c>
      <c r="D7" s="14" t="inlineStr">
        <is>
          <t>Paved asphalt roadway and concrete curb</t>
        </is>
      </c>
    </row>
    <row r="8" ht="20" customHeight="1">
      <c r="A8" s="11" t="inlineStr">
        <is>
          <t>Time of Concentration (Tc)</t>
        </is>
      </c>
      <c r="B8" s="15" t="n">
        <v>15</v>
      </c>
      <c r="C8" s="13" t="inlineStr">
        <is>
          <t>minutes</t>
        </is>
      </c>
      <c r="D8" s="16" t="inlineStr">
        <is>
          <t>Overland sheet + shallow concentrated flow</t>
        </is>
      </c>
    </row>
    <row r="9" ht="20" customHeight="1">
      <c r="A9" s="11" t="inlineStr">
        <is>
          <t>10-Year Rainfall Intensity (I)</t>
        </is>
      </c>
      <c r="B9" s="30">
        <f>135 / (B8 + 18)^0.82</f>
        <v/>
      </c>
      <c r="C9" s="13" t="inlineStr">
        <is>
          <t>in/hr</t>
        </is>
      </c>
      <c r="D9" s="14" t="inlineStr">
        <is>
          <t>Regional NOAA Atlas 14 IDF power equation</t>
        </is>
      </c>
    </row>
    <row r="10" ht="20" customHeight="1">
      <c r="A10" s="11" t="inlineStr">
        <is>
          <t>Peak Design Storm Runoff (Q)</t>
        </is>
      </c>
      <c r="B10" s="33">
        <f>B6 * B7 * B9</f>
        <v/>
      </c>
      <c r="C10" s="13" t="inlineStr">
        <is>
          <t>cfs</t>
        </is>
      </c>
      <c r="D10" s="34" t="inlineStr">
        <is>
          <t>Q = C * I * A (Rational Method)</t>
        </is>
      </c>
    </row>
    <row r="12" ht="24" customHeight="1">
      <c r="A12" s="3" t="inlineStr">
        <is>
          <t>2. FHWA HEC-22 CURB &amp; GUTTER SPREAD ANALYSIS</t>
        </is>
      </c>
    </row>
    <row r="13" ht="22" customHeight="1">
      <c r="A13" s="4" t="inlineStr">
        <is>
          <t>Gutter Flow Parameter</t>
        </is>
      </c>
      <c r="B13" s="4" t="inlineStr">
        <is>
          <t>Design Value</t>
        </is>
      </c>
      <c r="C13" s="4" t="inlineStr">
        <is>
          <t>Units</t>
        </is>
      </c>
      <c r="D13" s="4" t="inlineStr">
        <is>
          <t>FHWA HEC-22 Formula / Criteria</t>
        </is>
      </c>
    </row>
    <row r="14" ht="20" customHeight="1">
      <c r="A14" s="11" t="inlineStr">
        <is>
          <t>Roadway Longitudinal Slope (S0)</t>
        </is>
      </c>
      <c r="B14" s="50" t="n">
        <v>0.02</v>
      </c>
      <c r="C14" s="13" t="inlineStr">
        <is>
          <t>ft/ft</t>
        </is>
      </c>
      <c r="D14" s="38" t="inlineStr">
        <is>
          <t>2.0% roadway grade</t>
        </is>
      </c>
    </row>
    <row r="15" ht="20" customHeight="1">
      <c r="A15" s="11" t="inlineStr">
        <is>
          <t>Roadway Cross Slope (Sx)</t>
        </is>
      </c>
      <c r="B15" s="50" t="n">
        <v>0.025</v>
      </c>
      <c r="C15" s="13" t="inlineStr">
        <is>
          <t>ft/ft</t>
        </is>
      </c>
      <c r="D15" s="38" t="inlineStr">
        <is>
          <t>2.5% pavement crown cross slope</t>
        </is>
      </c>
    </row>
    <row r="16" ht="20" customHeight="1">
      <c r="A16" s="11" t="inlineStr">
        <is>
          <t>Manning Roughness Coeff (n)</t>
        </is>
      </c>
      <c r="B16" s="50" t="n">
        <v>0.016</v>
      </c>
      <c r="C16" s="13" t="inlineStr">
        <is>
          <t>-</t>
        </is>
      </c>
      <c r="D16" s="38" t="inlineStr">
        <is>
          <t>Concrete curb and gutter finish</t>
        </is>
      </c>
    </row>
    <row r="17" ht="20" customHeight="1">
      <c r="A17" s="11" t="inlineStr">
        <is>
          <t>Gutter Water Spread Width (T_spread)</t>
        </is>
      </c>
      <c r="B17" s="30">
        <f>((B10 * B16) / (0.56 * B15^(5/3) * B14^0.5))^(3/8)</f>
        <v/>
      </c>
      <c r="C17" s="13" t="inlineStr">
        <is>
          <t>ft</t>
        </is>
      </c>
      <c r="D17" s="14" t="inlineStr">
        <is>
          <t>T = [Q*n / (0.56 * Sx^(5/3) * S0^(1/2))]^(3/8)</t>
        </is>
      </c>
    </row>
    <row r="18" ht="20" customHeight="1">
      <c r="A18" s="11" t="inlineStr">
        <is>
          <t>Allowable Shoulder Encroachment Limit</t>
        </is>
      </c>
      <c r="B18" s="27" t="n">
        <v>8</v>
      </c>
      <c r="C18" s="28" t="inlineStr">
        <is>
          <t>ft</t>
        </is>
      </c>
      <c r="D18" s="36" t="inlineStr">
        <is>
          <t>AASHTO maximum permissible shoulder ponding</t>
        </is>
      </c>
      <c r="E18" s="29">
        <f>IF(B17&lt;=B18, "PASS - GUTTER SPREAD WITHIN SHOULDER", "FAIL - TRAFFIC LANE INUNDATED")</f>
        <v/>
      </c>
    </row>
    <row r="20" ht="24" customHeight="1">
      <c r="A20" s="3" t="inlineStr">
        <is>
          <t>3. CULVERT HYDRAULICS: INLET VS. OUTLET CONTROL (FHWA HDS-5)</t>
        </is>
      </c>
    </row>
    <row r="21" ht="22" customHeight="1">
      <c r="A21" s="4" t="inlineStr">
        <is>
          <t>Culvert Flow Parameter</t>
        </is>
      </c>
      <c r="B21" s="4" t="inlineStr">
        <is>
          <t>Design Value</t>
        </is>
      </c>
      <c r="C21" s="4" t="inlineStr">
        <is>
          <t>Units</t>
        </is>
      </c>
      <c r="D21" s="4" t="inlineStr">
        <is>
          <t>Governing Equation / Control Mode</t>
        </is>
      </c>
    </row>
    <row r="22" ht="20" customHeight="1">
      <c r="A22" s="11" t="inlineStr">
        <is>
          <t>Culvert Diameter (D)</t>
        </is>
      </c>
      <c r="B22" s="15" t="n">
        <v>36</v>
      </c>
      <c r="C22" s="13" t="inlineStr">
        <is>
          <t>inches</t>
        </is>
      </c>
      <c r="D22" s="16" t="inlineStr">
        <is>
          <t>Reinforced concrete pipe (RCP, 3.0 ft)</t>
        </is>
      </c>
    </row>
    <row r="23" ht="20" customHeight="1">
      <c r="A23" s="11" t="inlineStr">
        <is>
          <t>Culvert Barrel Length (L)</t>
        </is>
      </c>
      <c r="B23" s="15" t="n">
        <v>80</v>
      </c>
      <c r="C23" s="13" t="inlineStr">
        <is>
          <t>ft</t>
        </is>
      </c>
      <c r="D23" s="16" t="inlineStr">
        <is>
          <t>Distance through roadway embankment</t>
        </is>
      </c>
    </row>
    <row r="24" ht="20" customHeight="1">
      <c r="A24" s="11" t="inlineStr">
        <is>
          <t>Culvert Invert Slope (S)</t>
        </is>
      </c>
      <c r="B24" s="50" t="n">
        <v>0.01</v>
      </c>
      <c r="C24" s="13" t="inlineStr">
        <is>
          <t>ft/ft</t>
        </is>
      </c>
      <c r="D24" s="38" t="inlineStr">
        <is>
          <t>1.0% physical barrel slope</t>
        </is>
      </c>
    </row>
    <row r="25" ht="20" customHeight="1">
      <c r="A25" s="11" t="inlineStr">
        <is>
          <t>Manning Roughness n_culvert</t>
        </is>
      </c>
      <c r="B25" s="50" t="n">
        <v>0.012</v>
      </c>
      <c r="C25" s="13" t="inlineStr">
        <is>
          <t>-</t>
        </is>
      </c>
      <c r="D25" s="38" t="inlineStr">
        <is>
          <t>Smooth interior RCP</t>
        </is>
      </c>
    </row>
    <row r="26" ht="20" customHeight="1">
      <c r="A26" s="11" t="inlineStr">
        <is>
          <t>Inlet Control Headwater (HW_inlet)</t>
        </is>
      </c>
      <c r="B26" s="30">
        <f>(B22/12) * (1.0 + 0.038 * (B10 / ((PI()/4)*(B22/12)^2 * SQRT(B22/12)))^1.5)</f>
        <v/>
      </c>
      <c r="C26" s="13" t="inlineStr">
        <is>
          <t>ft</t>
        </is>
      </c>
      <c r="D26" s="14" t="inlineStr">
        <is>
          <t>FHWA HDS-5 Unsubmerged Inlet Equation</t>
        </is>
      </c>
    </row>
    <row r="27" ht="20" customHeight="1">
      <c r="A27" s="11" t="inlineStr">
        <is>
          <t>Outlet Control Headwater (HW_outlet)</t>
        </is>
      </c>
      <c r="B27" s="30">
        <f>2.5 + (1 + 0.5 + 29*B25^2*B23/((B22/12)^(4/3))) * ((B10/((PI()/4)*(B22/12)^2))^2 / (2*32.174)) - B24*B23</f>
        <v/>
      </c>
      <c r="C27" s="13" t="inlineStr">
        <is>
          <t>ft</t>
        </is>
      </c>
      <c r="D27" s="14" t="inlineStr">
        <is>
          <t>HW = TW + H_losses - L*S</t>
        </is>
      </c>
    </row>
    <row r="28" ht="20" customHeight="1">
      <c r="A28" s="11" t="inlineStr">
        <is>
          <t>Governing Design Headwater (HW)</t>
        </is>
      </c>
      <c r="B28" s="30">
        <f>MAX(B26, B27)</f>
        <v/>
      </c>
      <c r="C28" s="13" t="inlineStr">
        <is>
          <t>ft</t>
        </is>
      </c>
      <c r="D28" s="14" t="inlineStr">
        <is>
          <t>HW = MAX(HW_inlet, HW_outlet)</t>
        </is>
      </c>
    </row>
    <row r="29" ht="20" customHeight="1">
      <c r="A29" s="11" t="inlineStr">
        <is>
          <t>Roadway Embankment Low Point Elevation</t>
        </is>
      </c>
      <c r="B29" s="12" t="n">
        <v>105</v>
      </c>
      <c r="C29" s="13" t="inlineStr">
        <is>
          <t>ft</t>
        </is>
      </c>
      <c r="D29" s="14" t="inlineStr">
        <is>
          <t>Top of asphalt shoulder elevation</t>
        </is>
      </c>
    </row>
    <row r="30" ht="20" customHeight="1">
      <c r="A30" s="11" t="inlineStr">
        <is>
          <t>Culvert Invert Elevation</t>
        </is>
      </c>
      <c r="B30" s="12" t="n">
        <v>98</v>
      </c>
      <c r="C30" s="13" t="inlineStr">
        <is>
          <t>ft</t>
        </is>
      </c>
      <c r="D30" s="14" t="inlineStr">
        <is>
          <t>Inlet flowline elevation</t>
        </is>
      </c>
    </row>
    <row r="31" ht="20" customHeight="1">
      <c r="A31" s="11" t="inlineStr">
        <is>
          <t>Provided Overtopping Freeboard</t>
        </is>
      </c>
      <c r="B31" s="27">
        <f>B29 - (B30 + B28)</f>
        <v/>
      </c>
      <c r="C31" s="28" t="inlineStr">
        <is>
          <t>ft</t>
        </is>
      </c>
      <c r="D31" s="36" t="inlineStr">
        <is>
          <t>Freeboard = Road_El - (Invert + HW)</t>
        </is>
      </c>
      <c r="E31" s="29">
        <f>IF((B29-(B30+B28))&gt;=1.0, "PASS - FREEBOARD &gt;= 1.0 FT", "FAIL - ROADWAY OVERTOPPING RISK")</f>
        <v/>
      </c>
    </row>
  </sheetData>
  <mergeCells count="5">
    <mergeCell ref="A1:G1"/>
    <mergeCell ref="A12:G12"/>
    <mergeCell ref="A4:G4"/>
    <mergeCell ref="A20:G20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84" customWidth="1" min="2" max="2"/>
    <col width="12" customWidth="1" min="3" max="3"/>
    <col width="51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DEEP FOUNDATION PILE CAPACITY &amp; GROUP EFFICIENCY</t>
        </is>
      </c>
    </row>
    <row r="2" ht="18" customHeight="1">
      <c r="A2" s="2" t="inlineStr">
        <is>
          <t>Meyerhof End Bearing • Alpha (Clay) &amp; Beta (Sand) Skin Friction • Converse-Labarre (NCEES § 6.2.3)</t>
        </is>
      </c>
    </row>
    <row r="3" ht="10" customHeight="1"/>
    <row r="4" ht="24" customHeight="1">
      <c r="A4" s="3" t="inlineStr">
        <is>
          <t>1. PILE GEOMETRY &amp; SOIL PROFILE PARAMETERS</t>
        </is>
      </c>
    </row>
    <row r="5" ht="22" customHeight="1">
      <c r="A5" s="4" t="inlineStr">
        <is>
          <t>Geotechnical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Methodology / Source Reference</t>
        </is>
      </c>
    </row>
    <row r="6" ht="20" customHeight="1">
      <c r="A6" s="11" t="inlineStr">
        <is>
          <t>Pile Diameter / Width (D)</t>
        </is>
      </c>
      <c r="B6" s="12" t="n">
        <v>1.5</v>
      </c>
      <c r="C6" s="13" t="inlineStr">
        <is>
          <t>ft</t>
        </is>
      </c>
      <c r="D6" s="14" t="inlineStr">
        <is>
          <t>18-inch square precast prestressed concrete pile</t>
        </is>
      </c>
    </row>
    <row r="7" ht="20" customHeight="1">
      <c r="A7" s="11" t="inlineStr">
        <is>
          <t>Pile Total Embedment Depth (L)</t>
        </is>
      </c>
      <c r="B7" s="15" t="n">
        <v>45</v>
      </c>
      <c r="C7" s="13" t="inlineStr">
        <is>
          <t>ft</t>
        </is>
      </c>
      <c r="D7" s="16" t="inlineStr">
        <is>
          <t>Total depth driven into stratigraphy</t>
        </is>
      </c>
    </row>
    <row r="8" ht="20" customHeight="1">
      <c r="A8" s="11" t="inlineStr">
        <is>
          <t>Layer 1 (Clay) Thickness (L1)</t>
        </is>
      </c>
      <c r="B8" s="15" t="n">
        <v>30</v>
      </c>
      <c r="C8" s="13" t="inlineStr">
        <is>
          <t>ft</t>
        </is>
      </c>
      <c r="D8" s="16" t="inlineStr">
        <is>
          <t>Upper cohesive layer (0 to 30 ft)</t>
        </is>
      </c>
    </row>
    <row r="9" ht="20" customHeight="1">
      <c r="A9" s="11" t="inlineStr">
        <is>
          <t>Clay Undrained Shear Strength (c_u)</t>
        </is>
      </c>
      <c r="B9" s="17" t="n">
        <v>1200</v>
      </c>
      <c r="C9" s="13" t="inlineStr">
        <is>
          <t>psf</t>
        </is>
      </c>
      <c r="D9" s="18" t="inlineStr">
        <is>
          <t>Cohesive soil unconfined compression strength</t>
        </is>
      </c>
    </row>
    <row r="10" ht="20" customHeight="1">
      <c r="A10" s="11" t="inlineStr">
        <is>
          <t>Clay Adhesion Factor (alpha)</t>
        </is>
      </c>
      <c r="B10" s="12" t="n">
        <v>0.55</v>
      </c>
      <c r="C10" s="13" t="inlineStr">
        <is>
          <t>-</t>
        </is>
      </c>
      <c r="D10" s="14" t="inlineStr">
        <is>
          <t>API / Tomlinson alpha-method factor</t>
        </is>
      </c>
    </row>
    <row r="11" ht="20" customHeight="1">
      <c r="A11" s="11" t="inlineStr">
        <is>
          <t>Layer 2 (Sand) Thickness (L2)</t>
        </is>
      </c>
      <c r="B11" s="15" t="n">
        <v>15</v>
      </c>
      <c r="C11" s="13" t="inlineStr">
        <is>
          <t>ft</t>
        </is>
      </c>
      <c r="D11" s="16" t="inlineStr">
        <is>
          <t>Bearing cohesionless stratum (30 to 45 ft)</t>
        </is>
      </c>
    </row>
    <row r="12" ht="20" customHeight="1">
      <c r="A12" s="11" t="inlineStr">
        <is>
          <t>Sand Internal Friction Angle (phi)</t>
        </is>
      </c>
      <c r="B12" s="15" t="n">
        <v>36</v>
      </c>
      <c r="C12" s="13" t="inlineStr">
        <is>
          <t>deg</t>
        </is>
      </c>
      <c r="D12" s="16" t="inlineStr">
        <is>
          <t>Dense quartz bearing sand layer</t>
        </is>
      </c>
    </row>
    <row r="13" ht="20" customHeight="1">
      <c r="A13" s="11" t="inlineStr">
        <is>
          <t>Effective Overburden at Mid-Sand (sigma_v)</t>
        </is>
      </c>
      <c r="B13" s="17" t="n">
        <v>3200</v>
      </c>
      <c r="C13" s="13" t="inlineStr">
        <is>
          <t>psf</t>
        </is>
      </c>
      <c r="D13" s="18" t="inlineStr">
        <is>
          <t>Average effective stress along sand shaft</t>
        </is>
      </c>
    </row>
    <row r="14" ht="20" customHeight="1">
      <c r="A14" s="11" t="inlineStr">
        <is>
          <t>Sand End Bearing Capacity Factor (N_q)</t>
        </is>
      </c>
      <c r="B14" s="15" t="n">
        <v>40</v>
      </c>
      <c r="C14" s="13" t="inlineStr">
        <is>
          <t>-</t>
        </is>
      </c>
      <c r="D14" s="16" t="inlineStr">
        <is>
          <t>Meyerhof bearing factor for phi = 36 deg</t>
        </is>
      </c>
    </row>
    <row r="16" ht="24" customHeight="1">
      <c r="A16" s="3" t="inlineStr">
        <is>
          <t>2. ULTIMATE GEOTECHNICAL PILE CAPACITY (Q_ult = Q_s + Q_p)</t>
        </is>
      </c>
    </row>
    <row r="17" ht="22" customHeight="1">
      <c r="A17" s="4" t="inlineStr">
        <is>
          <t>Capacity Component</t>
        </is>
      </c>
      <c r="B17" s="4" t="inlineStr">
        <is>
          <t>Calculated Value</t>
        </is>
      </c>
      <c r="C17" s="4" t="inlineStr">
        <is>
          <t>Units</t>
        </is>
      </c>
      <c r="D17" s="4" t="inlineStr">
        <is>
          <t>Governing Geotechnical Formula</t>
        </is>
      </c>
    </row>
    <row r="18" ht="20" customHeight="1">
      <c r="A18" s="11" t="inlineStr">
        <is>
          <t>Pile Perimeter (P)</t>
        </is>
      </c>
      <c r="B18" s="30">
        <f>4 * B6</f>
        <v/>
      </c>
      <c r="C18" s="13" t="inlineStr">
        <is>
          <t>ft</t>
        </is>
      </c>
      <c r="D18" s="14" t="inlineStr">
        <is>
          <t>Perimeter = 4 * D for square pile</t>
        </is>
      </c>
    </row>
    <row r="19" ht="20" customHeight="1">
      <c r="A19" s="11" t="inlineStr">
        <is>
          <t>Pile Tip Bearing Area (A_p)</t>
        </is>
      </c>
      <c r="B19" s="30">
        <f>B6 * B6</f>
        <v/>
      </c>
      <c r="C19" s="13" t="inlineStr">
        <is>
          <t>sq ft</t>
        </is>
      </c>
      <c r="D19" s="14" t="inlineStr">
        <is>
          <t>Area = D² for square pile</t>
        </is>
      </c>
    </row>
    <row r="20" ht="20" customHeight="1">
      <c r="A20" s="11" t="inlineStr">
        <is>
          <t>Layer 1 Clay Skin Friction (Qs_clay)</t>
        </is>
      </c>
      <c r="B20" s="22">
        <f>B10 * B9 * B18 * B8</f>
        <v/>
      </c>
      <c r="C20" s="13" t="inlineStr">
        <is>
          <t>lbs</t>
        </is>
      </c>
      <c r="D20" s="18" t="inlineStr">
        <is>
          <t>Qs_clay = alpha * cu * P * L1</t>
        </is>
      </c>
    </row>
    <row r="21" ht="20" customHeight="1">
      <c r="A21" s="11" t="inlineStr">
        <is>
          <t>Layer 2 Beta Skin Friction (Qs_sand)</t>
        </is>
      </c>
      <c r="B21" s="22">
        <f>(1 - SIN(RADIANS(B12))) * TAN(RADIANS(0.75*B12)) * B13 * B18 * B11</f>
        <v/>
      </c>
      <c r="C21" s="13" t="inlineStr">
        <is>
          <t>lbs</t>
        </is>
      </c>
      <c r="D21" s="18" t="inlineStr">
        <is>
          <t>Qs_sand = beta * sigma_v * P * L2</t>
        </is>
      </c>
    </row>
    <row r="22" ht="20" customHeight="1">
      <c r="A22" s="11" t="inlineStr">
        <is>
          <t>Total Shaft Skin Friction (Q_s)</t>
        </is>
      </c>
      <c r="B22" s="30">
        <f>(B20 + B21) / 1000</f>
        <v/>
      </c>
      <c r="C22" s="13" t="inlineStr">
        <is>
          <t>kips</t>
        </is>
      </c>
      <c r="D22" s="14" t="inlineStr">
        <is>
          <t>Q_s = (Qs_clay + Qs_sand) / 1000</t>
        </is>
      </c>
    </row>
    <row r="23" ht="20" customHeight="1">
      <c r="A23" s="11" t="inlineStr">
        <is>
          <t>Tip End Bearing Capacity (Q_p)</t>
        </is>
      </c>
      <c r="B23" s="30">
        <f>(B13 * B14 * B19) / 1000</f>
        <v/>
      </c>
      <c r="C23" s="13" t="inlineStr">
        <is>
          <t>kips</t>
        </is>
      </c>
      <c r="D23" s="14" t="inlineStr">
        <is>
          <t>Q_p = (sigma_v_tip * Nq * Ap) / 1000</t>
        </is>
      </c>
    </row>
    <row r="24" ht="20" customHeight="1">
      <c r="A24" s="23" t="inlineStr">
        <is>
          <t>TOTAL ULTIMATE PILE CAPACITY (Q_ult)</t>
        </is>
      </c>
      <c r="B24" s="45">
        <f>B22 + B23</f>
        <v/>
      </c>
      <c r="C24" s="54" t="inlineStr">
        <is>
          <t>kips</t>
        </is>
      </c>
      <c r="D24" s="44" t="inlineStr">
        <is>
          <t>Q_ult = Q_s + Q_p</t>
        </is>
      </c>
    </row>
    <row r="25" ht="20" customHeight="1">
      <c r="A25" s="11" t="inlineStr">
        <is>
          <t>Allowable Single Pile Load (Q_all)</t>
        </is>
      </c>
      <c r="B25" s="30">
        <f>B24 / 2.5</f>
        <v/>
      </c>
      <c r="C25" s="13" t="inlineStr">
        <is>
          <t>kips</t>
        </is>
      </c>
      <c r="D25" s="14" t="inlineStr">
        <is>
          <t>Factor of Safety FS = 2.50</t>
        </is>
      </c>
    </row>
    <row r="26" ht="20" customHeight="1">
      <c r="A26" s="11" t="inlineStr">
        <is>
          <t>Allowable Single Pile Capacity in Tons</t>
        </is>
      </c>
      <c r="B26" s="30">
        <f>B25 / 2.0</f>
        <v/>
      </c>
      <c r="C26" s="13" t="inlineStr">
        <is>
          <t>tons</t>
        </is>
      </c>
      <c r="D26" s="14" t="inlineStr">
        <is>
          <t>1 ton = 2.0 kips = 2,000 lbs</t>
        </is>
      </c>
    </row>
    <row r="28" ht="24" customHeight="1">
      <c r="A28" s="3" t="inlineStr">
        <is>
          <t>3. PILE GROUP EFFICIENCY (CONVERSE-LABARRE)</t>
        </is>
      </c>
    </row>
    <row r="29" ht="22" customHeight="1">
      <c r="A29" s="4" t="inlineStr">
        <is>
          <t>Group Configuration Parameter</t>
        </is>
      </c>
      <c r="B29" s="4" t="inlineStr">
        <is>
          <t>Design Value</t>
        </is>
      </c>
      <c r="C29" s="4" t="inlineStr">
        <is>
          <t>Units</t>
        </is>
      </c>
      <c r="D29" s="4" t="inlineStr">
        <is>
          <t>Formula &amp; Code Criteria</t>
        </is>
      </c>
    </row>
    <row r="30" ht="20" customHeight="1">
      <c r="A30" s="11" t="inlineStr">
        <is>
          <t>Number of Rows (m)</t>
        </is>
      </c>
      <c r="B30" s="55" t="n">
        <v>3</v>
      </c>
      <c r="C30" s="13" t="inlineStr">
        <is>
          <t>-</t>
        </is>
      </c>
      <c r="D30" s="53" t="inlineStr">
        <is>
          <t>3x3 square pile group</t>
        </is>
      </c>
    </row>
    <row r="31" ht="20" customHeight="1">
      <c r="A31" s="11" t="inlineStr">
        <is>
          <t>Number of Columns (n)</t>
        </is>
      </c>
      <c r="B31" s="55" t="n">
        <v>3</v>
      </c>
      <c r="C31" s="13" t="inlineStr">
        <is>
          <t>-</t>
        </is>
      </c>
      <c r="D31" s="53" t="inlineStr">
        <is>
          <t>9 total piles in group</t>
        </is>
      </c>
    </row>
    <row r="32" ht="20" customHeight="1">
      <c r="A32" s="11" t="inlineStr">
        <is>
          <t>Center-to-Center Pile Spacing (s)</t>
        </is>
      </c>
      <c r="B32" s="12" t="n">
        <v>4.5</v>
      </c>
      <c r="C32" s="13" t="inlineStr">
        <is>
          <t>ft</t>
        </is>
      </c>
      <c r="D32" s="14" t="inlineStr">
        <is>
          <t>Standard s = 3.0 * D spacing</t>
        </is>
      </c>
    </row>
    <row r="33" ht="20" customHeight="1">
      <c r="A33" s="11" t="inlineStr">
        <is>
          <t>Converse-Labarre Group Efficiency (eta)</t>
        </is>
      </c>
      <c r="B33" s="37">
        <f>1 - (DEGREES(ATAN(B6 / B32)) / 90) * (((B31-1)*B30 + (B30-1)*B31) / (B30 * B31))</f>
        <v/>
      </c>
      <c r="C33" s="13" t="inlineStr">
        <is>
          <t>-</t>
        </is>
      </c>
      <c r="D33" s="38" t="inlineStr">
        <is>
          <t>eta = 1 - (theta/90)*[(n-1)m + (m-1)n]/(mn)</t>
        </is>
      </c>
    </row>
    <row r="34" ht="20" customHeight="1">
      <c r="A34" s="11" t="inlineStr">
        <is>
          <t>Total Pile Group Allowable Capacity</t>
        </is>
      </c>
      <c r="B34" s="22">
        <f>B30 * B31 * B25 * B33</f>
        <v/>
      </c>
      <c r="C34" s="13" t="inlineStr">
        <is>
          <t>kips</t>
        </is>
      </c>
      <c r="D34" s="18" t="inlineStr">
        <is>
          <t>Q_group = (m * n) * Q_all * eta</t>
        </is>
      </c>
    </row>
    <row r="35" ht="20" customHeight="1">
      <c r="A35" s="23" t="inlineStr">
        <is>
          <t>Total Group Allowable Capacity in Tons</t>
        </is>
      </c>
      <c r="B35" s="26">
        <f>B34 / 2.0</f>
        <v/>
      </c>
      <c r="C35" s="54" t="inlineStr">
        <is>
          <t>tons</t>
        </is>
      </c>
      <c r="D35" s="24" t="inlineStr">
        <is>
          <t>Group allowable capacity with efficiency factor</t>
        </is>
      </c>
    </row>
  </sheetData>
  <mergeCells count="5">
    <mergeCell ref="A1:G1"/>
    <mergeCell ref="A4:G4"/>
    <mergeCell ref="A16:G16"/>
    <mergeCell ref="A2:G2"/>
    <mergeCell ref="A28:G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82" customWidth="1" min="2" max="2"/>
    <col width="27" customWidth="1" min="3" max="3"/>
    <col width="60" customWidth="1" min="4" max="4"/>
    <col width="79" customWidth="1" min="5" max="5"/>
    <col width="12" customWidth="1" min="6" max="6"/>
    <col width="12" customWidth="1" min="7" max="7"/>
  </cols>
  <sheetData>
    <row r="1" ht="28" customHeight="1">
      <c r="A1" s="1" t="inlineStr">
        <is>
          <t>WESTERGAARD SLAB-ON-GRADE STRUCTURAL CONCRETE ANALYSIS</t>
        </is>
      </c>
    </row>
    <row r="2" ht="18" customHeight="1">
      <c r="A2" s="2" t="inlineStr">
        <is>
          <t>Interior, Edge &amp; Corner Wheel Loading • Modulus of Subgrade Reaction • Flexural Tensile Stresses (PCA Standards)</t>
        </is>
      </c>
    </row>
    <row r="3" ht="10" customHeight="1"/>
    <row r="4" ht="24" customHeight="1">
      <c r="A4" s="3" t="inlineStr">
        <is>
          <t>1. SLAB GEOMETRY, CONCRETE &amp; SUBGRADE PROPERTIES</t>
        </is>
      </c>
    </row>
    <row r="5" ht="22" customHeight="1">
      <c r="A5" s="4" t="inlineStr">
        <is>
          <t>Parameter Description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Engineering Code / Laboratory Standard</t>
        </is>
      </c>
    </row>
    <row r="6" ht="20" customHeight="1">
      <c r="A6" s="11" t="inlineStr">
        <is>
          <t>Slab Thickness (h)</t>
        </is>
      </c>
      <c r="B6" s="12" t="n">
        <v>8</v>
      </c>
      <c r="C6" s="13" t="inlineStr">
        <is>
          <t>inches</t>
        </is>
      </c>
      <c r="D6" s="14" t="inlineStr">
        <is>
          <t>Reinforced structural slab-on-grade thickness</t>
        </is>
      </c>
    </row>
    <row r="7" ht="20" customHeight="1">
      <c r="A7" s="11" t="inlineStr">
        <is>
          <t>Concrete Compressive Strength (f'c)</t>
        </is>
      </c>
      <c r="B7" s="17" t="n">
        <v>4000</v>
      </c>
      <c r="C7" s="13" t="inlineStr">
        <is>
          <t>psi</t>
        </is>
      </c>
      <c r="D7" s="18" t="inlineStr">
        <is>
          <t>Standard 28-day cylinder compressive strength</t>
        </is>
      </c>
    </row>
    <row r="8" ht="20" customHeight="1">
      <c r="A8" s="11" t="inlineStr">
        <is>
          <t>Concrete Modulus of Elasticity (Ec)</t>
        </is>
      </c>
      <c r="B8" s="22">
        <f>57000 * SQRT(B5)</f>
        <v/>
      </c>
      <c r="C8" s="13" t="inlineStr">
        <is>
          <t>psi</t>
        </is>
      </c>
      <c r="D8" s="18" t="inlineStr">
        <is>
          <t>Ec = 57,000 * sqrt(f'c) (ACI 318)</t>
        </is>
      </c>
    </row>
    <row r="9" ht="20" customHeight="1">
      <c r="A9" s="11" t="inlineStr">
        <is>
          <t>Concrete Poisson's Ratio (nu)</t>
        </is>
      </c>
      <c r="B9" s="12" t="n">
        <v>0.15</v>
      </c>
      <c r="C9" s="13" t="inlineStr">
        <is>
          <t>-</t>
        </is>
      </c>
      <c r="D9" s="14" t="inlineStr">
        <is>
          <t>Standard concrete elastic Poisson ratio</t>
        </is>
      </c>
    </row>
    <row r="10" ht="20" customHeight="1">
      <c r="A10" s="11" t="inlineStr">
        <is>
          <t>Subgrade Reaction Modulus (k)</t>
        </is>
      </c>
      <c r="B10" s="15" t="n">
        <v>150</v>
      </c>
      <c r="C10" s="13" t="inlineStr">
        <is>
          <t>pci</t>
        </is>
      </c>
      <c r="D10" s="16" t="inlineStr">
        <is>
          <t>Plate load test subgrade modulus (lbs/in³)</t>
        </is>
      </c>
    </row>
    <row r="11" ht="20" customHeight="1">
      <c r="A11" s="11" t="inlineStr">
        <is>
          <t>Concentrated Wheel / Post Load (P)</t>
        </is>
      </c>
      <c r="B11" s="17" t="n">
        <v>18000</v>
      </c>
      <c r="C11" s="13" t="inlineStr">
        <is>
          <t>lbs</t>
        </is>
      </c>
      <c r="D11" s="18" t="inlineStr">
        <is>
          <t>Maximum axle / forklift wheel contact load</t>
        </is>
      </c>
    </row>
    <row r="12" ht="20" customHeight="1">
      <c r="A12" s="11" t="inlineStr">
        <is>
          <t>Contact Footprint Radius (a)</t>
        </is>
      </c>
      <c r="B12" s="12" t="n">
        <v>6</v>
      </c>
      <c r="C12" s="13" t="inlineStr">
        <is>
          <t>inches</t>
        </is>
      </c>
      <c r="D12" s="14" t="inlineStr">
        <is>
          <t>Circular tire contact area radius</t>
        </is>
      </c>
    </row>
    <row r="14" ht="24" customHeight="1">
      <c r="A14" s="3" t="inlineStr">
        <is>
          <t>2. RADIUS OF RELATIVE STIFFNESS &amp; CONTACT CORRECTION</t>
        </is>
      </c>
    </row>
    <row r="15" ht="22" customHeight="1">
      <c r="A15" s="4" t="inlineStr">
        <is>
          <t>Stiffness Parameter</t>
        </is>
      </c>
      <c r="B15" s="4" t="inlineStr">
        <is>
          <t>Calculated Value</t>
        </is>
      </c>
      <c r="C15" s="4" t="inlineStr">
        <is>
          <t>Units</t>
        </is>
      </c>
      <c r="D15" s="4" t="inlineStr">
        <is>
          <t>Governing Westergaard Formulation</t>
        </is>
      </c>
    </row>
    <row r="16" ht="20" customHeight="1">
      <c r="A16" s="11" t="inlineStr">
        <is>
          <t>Radius of Relative Stiffness (l)</t>
        </is>
      </c>
      <c r="B16" s="30">
        <f>((B6 * B6^3) / (12 * (1 - B7^2) * B8))^(0.25)</f>
        <v/>
      </c>
      <c r="C16" s="13" t="inlineStr">
        <is>
          <t>inches</t>
        </is>
      </c>
      <c r="D16" s="14" t="inlineStr">
        <is>
          <t>l = [Ec*h³ / (12*(1-nu²)*k)]^(1/4)</t>
        </is>
      </c>
    </row>
    <row r="17" ht="20" customHeight="1">
      <c r="A17" s="11" t="inlineStr">
        <is>
          <t>Equivalent Shear Radius (b)</t>
        </is>
      </c>
      <c r="B17" s="30">
        <f>IF(B10 &lt; 1.724*B6, SQRT(1.6*B10^2 + B6^2) - 0.675*B6, B10)</f>
        <v/>
      </c>
      <c r="C17" s="13" t="inlineStr">
        <is>
          <t>inches</t>
        </is>
      </c>
      <c r="D17" s="14" t="inlineStr">
        <is>
          <t>b = sqrt(1.6*a² + h²) - 0.675*h (Special radius)</t>
        </is>
      </c>
    </row>
    <row r="18" ht="20" customHeight="1">
      <c r="A18" s="11" t="inlineStr">
        <is>
          <t>Concrete Modulus of Rupture (f_r)</t>
        </is>
      </c>
      <c r="B18" s="56">
        <f>7.5 * SQRT(B5)</f>
        <v/>
      </c>
      <c r="C18" s="13" t="inlineStr">
        <is>
          <t>psi</t>
        </is>
      </c>
      <c r="D18" s="16" t="inlineStr">
        <is>
          <t>f_r = 7.5 * sqrt(f'c) (ACI 318 flexural tensile capacity)</t>
        </is>
      </c>
    </row>
    <row r="20" ht="24" customHeight="1">
      <c r="A20" s="3" t="inlineStr">
        <is>
          <t>3. WESTERGAARD TENSILE FLEXURAL STRESSES &amp; SAFETY FACTORS</t>
        </is>
      </c>
    </row>
    <row r="21" ht="22" customHeight="1">
      <c r="A21" s="4" t="inlineStr">
        <is>
          <t>Load Placement Condition</t>
        </is>
      </c>
      <c r="B21" s="4" t="inlineStr">
        <is>
          <t>Tensile Stress (psi)</t>
        </is>
      </c>
      <c r="C21" s="4" t="inlineStr">
        <is>
          <t>Modulus of Rupture (psi)</t>
        </is>
      </c>
      <c r="D21" s="4" t="inlineStr">
        <is>
          <t>Factor of Safety (f_r / sigma)</t>
        </is>
      </c>
      <c r="E21" s="4" t="inlineStr">
        <is>
          <t>Structural Design Check</t>
        </is>
      </c>
    </row>
    <row r="22" ht="20" customHeight="1">
      <c r="A22" s="11" t="inlineStr">
        <is>
          <t>Interior Load Condition (Center of Slab)</t>
        </is>
      </c>
      <c r="B22" s="39">
        <f>(3 * B9 * (1 + B7) / (2 * PI() * B6^2)) * (LN(B12 / B13) + 0.6159)</f>
        <v/>
      </c>
      <c r="C22" s="57">
        <f>B14</f>
        <v/>
      </c>
      <c r="D22" s="41">
        <f>B14 / B16</f>
        <v/>
      </c>
      <c r="E22" s="41">
        <f>IF(D16&gt;=1.7, "PASS - INTERIOR STRESS SAFE", "FAIL - CRACKING RISK")</f>
        <v/>
      </c>
    </row>
    <row r="23" ht="20" customHeight="1">
      <c r="A23" s="11" t="inlineStr">
        <is>
          <t>Edge Load Condition (Free Slab Boundary)</t>
        </is>
      </c>
      <c r="B23" s="39">
        <f>(0.529 * B9 * (1 + 0.54*B7) / B6^2) * (LOG10(B6 * B6^3 / (B8 * B13^4)) - 0.71)</f>
        <v/>
      </c>
      <c r="C23" s="57">
        <f>B14</f>
        <v/>
      </c>
      <c r="D23" s="41">
        <f>B14 / B17</f>
        <v/>
      </c>
      <c r="E23" s="41">
        <f>IF(D17&gt;=1.5, "PASS - EDGE REINFORCED ADEQUATE", "FAIL - THICKEN EDGE SLAB")</f>
        <v/>
      </c>
    </row>
    <row r="24" ht="20" customHeight="1">
      <c r="A24" s="11" t="inlineStr">
        <is>
          <t>Corner Load Condition (Slab Corner Joint)</t>
        </is>
      </c>
      <c r="B24" s="39">
        <f>(3 * B9 / B6^2) * (1 - (B10 * SQRT(2) / B12)^0.6)</f>
        <v/>
      </c>
      <c r="C24" s="57">
        <f>B14</f>
        <v/>
      </c>
      <c r="D24" s="41">
        <f>B14 / B18</f>
        <v/>
      </c>
      <c r="E24" s="41">
        <f>IF(D18&gt;=1.5, "PASS - CORNER STRESS SAFE", "FAIL - CORNER BREAK HAZARD")</f>
        <v/>
      </c>
    </row>
  </sheetData>
  <mergeCells count="5">
    <mergeCell ref="A14:G14"/>
    <mergeCell ref="A1:G1"/>
    <mergeCell ref="A4:G4"/>
    <mergeCell ref="A20:G20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0" customWidth="1" min="2" max="2"/>
    <col width="28" customWidth="1" min="3" max="3"/>
    <col width="53" customWidth="1" min="4" max="4"/>
    <col width="31" customWidth="1" min="5" max="5"/>
    <col width="12" customWidth="1" min="6" max="6"/>
    <col width="12" customWidth="1" min="7" max="7"/>
  </cols>
  <sheetData>
    <row r="1" ht="28" customHeight="1">
      <c r="A1" s="1" t="inlineStr">
        <is>
          <t>ACI 318-19 DIRECT DESIGN METHOD (DDM) FOR TWO-WAY SLABS</t>
        </is>
      </c>
    </row>
    <row r="2" ht="18" customHeight="1">
      <c r="A2" s="2" t="inlineStr">
        <is>
          <t>Total Static Design Moment Mo = qu*l2*ln²/8 • Column Strip &amp; Middle Strip Distribution (ACI 318-19 Chapter 8)</t>
        </is>
      </c>
    </row>
    <row r="3" ht="10" customHeight="1"/>
    <row r="4" ht="24" customHeight="1">
      <c r="A4" s="3" t="inlineStr">
        <is>
          <t>1. PANEL GEOMETRY &amp; FACTORED SUPERIMPOSED LOADING</t>
        </is>
      </c>
    </row>
    <row r="5" ht="22" customHeight="1">
      <c r="A5" s="4" t="inlineStr">
        <is>
          <t>Panel Design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ACI 318 Criteria / Code Reference</t>
        </is>
      </c>
    </row>
    <row r="6" ht="20" customHeight="1">
      <c r="A6" s="11" t="inlineStr">
        <is>
          <t>Longitudinal Span Length (l1)</t>
        </is>
      </c>
      <c r="B6" s="12" t="n">
        <v>24</v>
      </c>
      <c r="C6" s="13" t="inlineStr">
        <is>
          <t>ft</t>
        </is>
      </c>
      <c r="D6" s="14" t="inlineStr">
        <is>
          <t>Center-to-center span in direction of analysis</t>
        </is>
      </c>
    </row>
    <row r="7" ht="20" customHeight="1">
      <c r="A7" s="11" t="inlineStr">
        <is>
          <t>Transverse Span Length (l2)</t>
        </is>
      </c>
      <c r="B7" s="12" t="n">
        <v>20</v>
      </c>
      <c r="C7" s="13" t="inlineStr">
        <is>
          <t>ft</t>
        </is>
      </c>
      <c r="D7" s="14" t="inlineStr">
        <is>
          <t>Center-to-center span perpendicular to analysis</t>
        </is>
      </c>
    </row>
    <row r="8" ht="20" customHeight="1">
      <c r="A8" s="11" t="inlineStr">
        <is>
          <t>Column Support Width (c1)</t>
        </is>
      </c>
      <c r="B8" s="12" t="n">
        <v>1.5</v>
      </c>
      <c r="C8" s="13" t="inlineStr">
        <is>
          <t>ft</t>
        </is>
      </c>
      <c r="D8" s="14" t="inlineStr">
        <is>
          <t>18-inch square column support dimension</t>
        </is>
      </c>
    </row>
    <row r="9" ht="20" customHeight="1">
      <c r="A9" s="11" t="inlineStr">
        <is>
          <t>Clear Span Length (ln)</t>
        </is>
      </c>
      <c r="B9" s="30">
        <f>B6 - B8</f>
        <v/>
      </c>
      <c r="C9" s="13" t="inlineStr">
        <is>
          <t>ft</t>
        </is>
      </c>
      <c r="D9" s="14" t="inlineStr">
        <is>
          <t>ln = l1 - c1 (clear distance between column faces)</t>
        </is>
      </c>
    </row>
    <row r="10" ht="20" customHeight="1">
      <c r="A10" s="11" t="inlineStr">
        <is>
          <t>Slab Thickness (h)</t>
        </is>
      </c>
      <c r="B10" s="12" t="n">
        <v>8.5</v>
      </c>
      <c r="C10" s="13" t="inlineStr">
        <is>
          <t>inches</t>
        </is>
      </c>
      <c r="D10" s="14" t="inlineStr">
        <is>
          <t>Total two-way flat plate slab thickness</t>
        </is>
      </c>
    </row>
    <row r="11" ht="20" customHeight="1">
      <c r="A11" s="11" t="inlineStr">
        <is>
          <t>Superimposed Dead Load (SDL)</t>
        </is>
      </c>
      <c r="B11" s="15" t="n">
        <v>25</v>
      </c>
      <c r="C11" s="13" t="inlineStr">
        <is>
          <t>psf</t>
        </is>
      </c>
      <c r="D11" s="16" t="inlineStr">
        <is>
          <t>Ceiling, mechanical, flooring finishes</t>
        </is>
      </c>
    </row>
    <row r="12" ht="20" customHeight="1">
      <c r="A12" s="11" t="inlineStr">
        <is>
          <t>Design Live Load (LL)</t>
        </is>
      </c>
      <c r="B12" s="15" t="n">
        <v>80</v>
      </c>
      <c r="C12" s="13" t="inlineStr">
        <is>
          <t>psf</t>
        </is>
      </c>
      <c r="D12" s="16" t="inlineStr">
        <is>
          <t>Institutional / commercial office live load</t>
        </is>
      </c>
    </row>
    <row r="13" ht="20" customHeight="1">
      <c r="A13" s="11" t="inlineStr">
        <is>
          <t>Factored Design Load (qu)</t>
        </is>
      </c>
      <c r="B13" s="22">
        <f>1.2 * ((B8/12)*150 + B9) + 1.6 * B10</f>
        <v/>
      </c>
      <c r="C13" s="13" t="inlineStr">
        <is>
          <t>psf</t>
        </is>
      </c>
      <c r="D13" s="18" t="inlineStr">
        <is>
          <t>qu = 1.2 * Dead + 1.6 * Live (ACI 318-19)</t>
        </is>
      </c>
    </row>
    <row r="14"/>
    <row r="15" ht="24" customHeight="1">
      <c r="A15" s="3" t="inlineStr">
        <is>
          <t>2. TOTAL STATIC DESIGN MOMENT (Mo)</t>
        </is>
      </c>
    </row>
    <row r="16" ht="22" customHeight="1">
      <c r="A16" s="4" t="inlineStr">
        <is>
          <t>Total Static Moment Component</t>
        </is>
      </c>
      <c r="B16" s="4" t="inlineStr">
        <is>
          <t>Calculated Value</t>
        </is>
      </c>
      <c r="C16" s="4" t="inlineStr">
        <is>
          <t>Units</t>
        </is>
      </c>
      <c r="D16" s="4" t="inlineStr">
        <is>
          <t>Governing ACI 318-19 Equation</t>
        </is>
      </c>
    </row>
    <row r="17" ht="20" customHeight="1">
      <c r="A17" s="23" t="inlineStr">
        <is>
          <t>Total Static Design Moment (Mo)</t>
        </is>
      </c>
      <c r="B17" s="48">
        <f>(B11 * B5 * B7^2) / 8000</f>
        <v/>
      </c>
      <c r="C17" s="54" t="inlineStr">
        <is>
          <t>ft-kips</t>
        </is>
      </c>
      <c r="D17" s="49" t="inlineStr">
        <is>
          <t>Mo = (qu * l2 * ln²) / 8</t>
        </is>
      </c>
    </row>
    <row r="18"/>
    <row r="19" ht="24" customHeight="1">
      <c r="A19" s="3" t="inlineStr">
        <is>
          <t>3. LONGITUDINAL &amp; TRANSVERSE MOMENT DISTRIBUTION</t>
        </is>
      </c>
    </row>
    <row r="20" ht="22" customHeight="1">
      <c r="A20" s="4" t="inlineStr">
        <is>
          <t>Moment Section</t>
        </is>
      </c>
      <c r="B20" s="4" t="inlineStr">
        <is>
          <t>Percent Distribution</t>
        </is>
      </c>
      <c r="C20" s="4" t="inlineStr">
        <is>
          <t>Factored Moment (ft-kips)</t>
        </is>
      </c>
      <c r="D20" s="4" t="inlineStr">
        <is>
          <t>Column Strip Share (ft-kips)</t>
        </is>
      </c>
      <c r="E20" s="4" t="inlineStr">
        <is>
          <t>Middle Strip Share (ft-kips)</t>
        </is>
      </c>
    </row>
    <row r="21" ht="20" customHeight="1">
      <c r="A21" s="11" t="inlineStr">
        <is>
          <t>Interior Negative Moment (-Mu)</t>
        </is>
      </c>
      <c r="B21" s="34" t="inlineStr">
        <is>
          <t>65.0%</t>
        </is>
      </c>
      <c r="C21" s="20">
        <f>0.65 * B14</f>
        <v/>
      </c>
      <c r="D21" s="33">
        <f>0.75 * C16</f>
        <v/>
      </c>
      <c r="E21" s="33">
        <f>C16 - D16</f>
        <v/>
      </c>
    </row>
    <row r="22" ht="20" customHeight="1">
      <c r="A22" s="11" t="inlineStr">
        <is>
          <t>Positive Midspan Moment (+Mu)</t>
        </is>
      </c>
      <c r="B22" s="34" t="inlineStr">
        <is>
          <t>35.0%</t>
        </is>
      </c>
      <c r="C22" s="20">
        <f>0.35 * B14</f>
        <v/>
      </c>
      <c r="D22" s="33">
        <f>0.60 * C17</f>
        <v/>
      </c>
      <c r="E22" s="33">
        <f>C17 - D17</f>
        <v/>
      </c>
    </row>
    <row r="23" ht="20" customHeight="1">
      <c r="A23" s="23" t="inlineStr">
        <is>
          <t>SUM OF DESIGN MOMENTS</t>
        </is>
      </c>
      <c r="B23" s="49" t="inlineStr">
        <is>
          <t>100.0%</t>
        </is>
      </c>
      <c r="C23" s="25">
        <f>C16 + C17</f>
        <v/>
      </c>
      <c r="D23" s="48">
        <f>D16 + D17</f>
        <v/>
      </c>
      <c r="E23" s="48">
        <f>E16 + E17</f>
        <v/>
      </c>
    </row>
    <row r="24"/>
    <row r="25" ht="24" customHeight="1">
      <c r="A25" s="3" t="inlineStr">
        <is>
          <t>4. FLEXURAL REINFORCING STEEL SIZING (fy = 60,000 psi)</t>
        </is>
      </c>
    </row>
    <row r="26" ht="22" customHeight="1">
      <c r="A26" s="4" t="inlineStr">
        <is>
          <t>Design Location</t>
        </is>
      </c>
      <c r="B26" s="4" t="inlineStr">
        <is>
          <t>Design Moment Mu (ft-kips)</t>
        </is>
      </c>
      <c r="C26" s="4" t="inlineStr">
        <is>
          <t>Effective Depth d (in)</t>
        </is>
      </c>
      <c r="D26" s="4" t="inlineStr">
        <is>
          <t>Required As (sq in)</t>
        </is>
      </c>
      <c r="E26" s="4" t="inlineStr">
        <is>
          <t>Minimum As,min (sq in)</t>
        </is>
      </c>
    </row>
    <row r="27" ht="20" customHeight="1">
      <c r="A27" s="11" t="inlineStr">
        <is>
          <t>Column Strip Negative Steel</t>
        </is>
      </c>
      <c r="B27" s="30">
        <f>D16</f>
        <v/>
      </c>
      <c r="C27" s="20" t="n">
        <v>7.25</v>
      </c>
      <c r="D27" s="30">
        <f>D16 * 12 / (0.90 * 60 * 0.90 * C20)</f>
        <v/>
      </c>
      <c r="E27" s="30">
        <f>0.0018 * 12 * (B5/2) * B8</f>
        <v/>
      </c>
    </row>
    <row r="28" ht="20" customHeight="1">
      <c r="A28" s="11" t="inlineStr">
        <is>
          <t>Column Strip Positive Steel</t>
        </is>
      </c>
      <c r="B28" s="30">
        <f>D17</f>
        <v/>
      </c>
      <c r="C28" s="20" t="n">
        <v>7.25</v>
      </c>
      <c r="D28" s="30">
        <f>D17 * 12 / (0.90 * 60 * 0.90 * C21)</f>
        <v/>
      </c>
      <c r="E28" s="30">
        <f>0.0018 * 12 * (B5/2) * B8</f>
        <v/>
      </c>
    </row>
    <row r="29" ht="20" customHeight="1">
      <c r="A29" s="11" t="inlineStr">
        <is>
          <t>Middle Strip Positive Steel</t>
        </is>
      </c>
      <c r="B29" s="30">
        <f>E17</f>
        <v/>
      </c>
      <c r="C29" s="20" t="n">
        <v>7.25</v>
      </c>
      <c r="D29" s="30">
        <f>E17 * 12 / (0.90 * 60 * 0.90 * C22)</f>
        <v/>
      </c>
      <c r="E29" s="30">
        <f>0.0018 * 12 * (B5/2) * B8</f>
        <v/>
      </c>
    </row>
  </sheetData>
  <mergeCells count="6">
    <mergeCell ref="A1:G1"/>
    <mergeCell ref="A4:G4"/>
    <mergeCell ref="A2:G2"/>
    <mergeCell ref="A15:G15"/>
    <mergeCell ref="A25:G25"/>
    <mergeCell ref="A19:G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58" customWidth="1" min="2" max="2"/>
    <col width="13" customWidth="1" min="3" max="3"/>
    <col width="49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ACI 318-19 EQUIVALENT FRAME METHOD (EFM) FOR TWO-WAY SLABS</t>
        </is>
      </c>
    </row>
    <row r="2" ht="18" customHeight="1">
      <c r="A2" s="2" t="inlineStr">
        <is>
          <t>Structural Frame Discretization • Torsional Member Stiffness Kt • Equivalent Column Stiffness Kec</t>
        </is>
      </c>
    </row>
    <row r="3" ht="10" customHeight="1"/>
    <row r="4" ht="24" customHeight="1">
      <c r="A4" s="3" t="inlineStr">
        <is>
          <t>1. EQUIVALENT FRAME GEOMETRY &amp; STRUCTURAL PROPERTIES</t>
        </is>
      </c>
    </row>
    <row r="5" ht="22" customHeight="1">
      <c r="A5" s="4" t="inlineStr">
        <is>
          <t>Frame Component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ACI 318 Reference / Structural Property</t>
        </is>
      </c>
    </row>
    <row r="6" ht="20" customHeight="1">
      <c r="A6" s="11" t="inlineStr">
        <is>
          <t>Longitudinal Bay Span (L1)</t>
        </is>
      </c>
      <c r="B6" s="12" t="n">
        <v>24</v>
      </c>
      <c r="C6" s="13" t="inlineStr">
        <is>
          <t>ft</t>
        </is>
      </c>
      <c r="D6" s="14" t="inlineStr">
        <is>
          <t>Center-to-center span in direction of frame</t>
        </is>
      </c>
    </row>
    <row r="7" ht="20" customHeight="1">
      <c r="A7" s="11" t="inlineStr">
        <is>
          <t>Transverse Frame Width (L2)</t>
        </is>
      </c>
      <c r="B7" s="12" t="n">
        <v>20</v>
      </c>
      <c r="C7" s="13" t="inlineStr">
        <is>
          <t>ft</t>
        </is>
      </c>
      <c r="D7" s="14" t="inlineStr">
        <is>
          <t>Tributary frame width contributing to analysis</t>
        </is>
      </c>
    </row>
    <row r="8" ht="20" customHeight="1">
      <c r="A8" s="11" t="inlineStr">
        <is>
          <t>Story Floor-to-Floor Height (H)</t>
        </is>
      </c>
      <c r="B8" s="12" t="n">
        <v>12</v>
      </c>
      <c r="C8" s="13" t="inlineStr">
        <is>
          <t>ft</t>
        </is>
      </c>
      <c r="D8" s="14" t="inlineStr">
        <is>
          <t>Total clear story height above and below</t>
        </is>
      </c>
    </row>
    <row r="9" ht="20" customHeight="1">
      <c r="A9" s="11" t="inlineStr">
        <is>
          <t>Slab Thickness (h)</t>
        </is>
      </c>
      <c r="B9" s="12" t="n">
        <v>8.5</v>
      </c>
      <c r="C9" s="13" t="inlineStr">
        <is>
          <t>inches</t>
        </is>
      </c>
      <c r="D9" s="14" t="inlineStr">
        <is>
          <t>Flat plate structural concrete slab</t>
        </is>
      </c>
    </row>
    <row r="10" ht="20" customHeight="1">
      <c r="A10" s="11" t="inlineStr">
        <is>
          <t>Column Dimension in Frame Direction (c1)</t>
        </is>
      </c>
      <c r="B10" s="15" t="n">
        <v>18</v>
      </c>
      <c r="C10" s="13" t="inlineStr">
        <is>
          <t>inches</t>
        </is>
      </c>
      <c r="D10" s="16" t="inlineStr">
        <is>
          <t>Column dimension parallel to span L1</t>
        </is>
      </c>
    </row>
    <row r="11" ht="20" customHeight="1">
      <c r="A11" s="11" t="inlineStr">
        <is>
          <t>Column Dimension Transverse (c2)</t>
        </is>
      </c>
      <c r="B11" s="15" t="n">
        <v>18</v>
      </c>
      <c r="C11" s="13" t="inlineStr">
        <is>
          <t>inches</t>
        </is>
      </c>
      <c r="D11" s="16" t="inlineStr">
        <is>
          <t>Column dimension perpendicular to span L1</t>
        </is>
      </c>
    </row>
    <row r="12" ht="20" customHeight="1">
      <c r="A12" s="11" t="inlineStr">
        <is>
          <t>Concrete Modulus of Elasticity (Ec)</t>
        </is>
      </c>
      <c r="B12" s="58" t="n">
        <v>3600000</v>
      </c>
      <c r="C12" s="13" t="inlineStr">
        <is>
          <t>psi</t>
        </is>
      </c>
      <c r="D12" s="59" t="inlineStr">
        <is>
          <t>Normal-weight 4,000 psi concrete Ec</t>
        </is>
      </c>
    </row>
    <row r="14" ht="24" customHeight="1">
      <c r="A14" s="3" t="inlineStr">
        <is>
          <t>2. COMPONENT STIFFNESS CALCULATIONS (K_sb, K_c, K_t)</t>
        </is>
      </c>
    </row>
    <row r="15" ht="22" customHeight="1">
      <c r="A15" s="4" t="inlineStr">
        <is>
          <t>Stiffness Member</t>
        </is>
      </c>
      <c r="B15" s="4" t="inlineStr">
        <is>
          <t>Calculated Value</t>
        </is>
      </c>
      <c r="C15" s="4" t="inlineStr">
        <is>
          <t>Units</t>
        </is>
      </c>
      <c r="D15" s="4" t="inlineStr">
        <is>
          <t>Governing ACI 318 Formula</t>
        </is>
      </c>
    </row>
    <row r="16" ht="20" customHeight="1">
      <c r="A16" s="11" t="inlineStr">
        <is>
          <t>Slab-Beam Moment of Inertia (I_sb)</t>
        </is>
      </c>
      <c r="B16" s="60">
        <f>(B7 * 12 * B7^3) / 12</f>
        <v/>
      </c>
      <c r="C16" s="13" t="inlineStr">
        <is>
          <t>in⁴</t>
        </is>
      </c>
      <c r="D16" s="59" t="inlineStr">
        <is>
          <t>I_sb = (L2 * 12 * h³) / 12</t>
        </is>
      </c>
    </row>
    <row r="17" ht="20" customHeight="1">
      <c r="A17" s="11" t="inlineStr">
        <is>
          <t>Slab-Beam Flexural Stiffness (K_sb)</t>
        </is>
      </c>
      <c r="B17" s="60">
        <f>(4 * B10 * B12) / (B6 * 12)</f>
        <v/>
      </c>
      <c r="C17" s="13" t="inlineStr">
        <is>
          <t>in-lbs/rad</t>
        </is>
      </c>
      <c r="D17" s="59" t="inlineStr">
        <is>
          <t>K_sb = (4 * Ec * I_sb) / L1</t>
        </is>
      </c>
    </row>
    <row r="18" ht="20" customHeight="1">
      <c r="A18" s="11" t="inlineStr">
        <is>
          <t>Column Moment of Inertia (I_col)</t>
        </is>
      </c>
      <c r="B18" s="60">
        <f>(B9 * B8^3) / 12</f>
        <v/>
      </c>
      <c r="C18" s="13" t="inlineStr">
        <is>
          <t>in⁴</t>
        </is>
      </c>
      <c r="D18" s="59" t="inlineStr">
        <is>
          <t>I_c = (c2 * c1³) / 12</t>
        </is>
      </c>
    </row>
    <row r="19" ht="20" customHeight="1">
      <c r="A19" s="11" t="inlineStr">
        <is>
          <t>Combined Column Stiffness (Sum K_c)</t>
        </is>
      </c>
      <c r="B19" s="60">
        <f>2 * (4 * B10 * B14) / (B6 * 12)</f>
        <v/>
      </c>
      <c r="C19" s="13" t="inlineStr">
        <is>
          <t>in-lbs/rad</t>
        </is>
      </c>
      <c r="D19" s="59" t="inlineStr">
        <is>
          <t>Sum Kc = Kc_upper + Kc_lower</t>
        </is>
      </c>
    </row>
    <row r="20" ht="20" customHeight="1">
      <c r="A20" s="11" t="inlineStr">
        <is>
          <t>Torsional Section Property (C)</t>
        </is>
      </c>
      <c r="B20" s="60">
        <f>(1 - 0.63 * B7 / B9) * (B7^3 * B9 / 3)</f>
        <v/>
      </c>
      <c r="C20" s="13" t="inlineStr">
        <is>
          <t>in⁴</t>
        </is>
      </c>
      <c r="D20" s="59" t="inlineStr">
        <is>
          <t>C = (1 - 0.63*x/y) * (x³*y / 3)</t>
        </is>
      </c>
    </row>
    <row r="21" ht="20" customHeight="1">
      <c r="A21" s="11" t="inlineStr">
        <is>
          <t>Torsional Member Stiffness (K_t)</t>
        </is>
      </c>
      <c r="B21" s="60">
        <f>2 * (9 * B10 * B16) / ((B7 * 12) * (1 - B9/(B7*12))^3)</f>
        <v/>
      </c>
      <c r="C21" s="13" t="inlineStr">
        <is>
          <t>in-lbs/rad</t>
        </is>
      </c>
      <c r="D21" s="59" t="inlineStr">
        <is>
          <t>Kt = 2 * (9*Ec*C) / [L2*(1 - c2/L2)³]</t>
        </is>
      </c>
    </row>
    <row r="23" ht="24" customHeight="1">
      <c r="A23" s="3" t="inlineStr">
        <is>
          <t>3. EQUIVALENT COLUMN STIFFNESS (K_ec) &amp; DISTRIBUTION FACTORS</t>
        </is>
      </c>
    </row>
    <row r="24" ht="22" customHeight="1">
      <c r="A24" s="4" t="inlineStr">
        <is>
          <t>Frame Connection Term</t>
        </is>
      </c>
      <c r="B24" s="4" t="inlineStr">
        <is>
          <t>Calculated Value</t>
        </is>
      </c>
      <c r="C24" s="4" t="inlineStr">
        <is>
          <t>Units</t>
        </is>
      </c>
      <c r="D24" s="4" t="inlineStr">
        <is>
          <t>Stiffness Synthesis &amp; Load Distribution</t>
        </is>
      </c>
    </row>
    <row r="25" ht="20" customHeight="1">
      <c r="A25" s="11" t="inlineStr">
        <is>
          <t>Reciprocal Stiffness (1 / Kec)</t>
        </is>
      </c>
      <c r="B25" s="61">
        <f>(1 / B15) + (1 / B17)</f>
        <v/>
      </c>
      <c r="C25" s="13" t="inlineStr">
        <is>
          <t>rad/in-lbs</t>
        </is>
      </c>
      <c r="D25" s="62" t="inlineStr">
        <is>
          <t>1 / Kec = 1 / (Sum Kc) + 1 / Kt</t>
        </is>
      </c>
    </row>
    <row r="26" ht="20" customHeight="1">
      <c r="A26" s="23" t="inlineStr">
        <is>
          <t>Equivalent Column Stiffness (K_ec)</t>
        </is>
      </c>
      <c r="B26" s="63">
        <f>1 / B20</f>
        <v/>
      </c>
      <c r="C26" s="54" t="inlineStr">
        <is>
          <t>in-lbs/rad</t>
        </is>
      </c>
      <c r="D26" s="64" t="inlineStr">
        <is>
          <t>Kec = (Sum Kc * Kt) / (Sum Kc + Kt)</t>
        </is>
      </c>
    </row>
    <row r="27" ht="20" customHeight="1">
      <c r="A27" s="11" t="inlineStr">
        <is>
          <t>Joint Moment Distribution Factor (DF)</t>
        </is>
      </c>
      <c r="B27" s="37">
        <f>B13 / (B13 + B21)</f>
        <v/>
      </c>
      <c r="C27" s="13" t="inlineStr">
        <is>
          <t>-</t>
        </is>
      </c>
      <c r="D27" s="38" t="inlineStr">
        <is>
          <t>DF = K_sb / (K_sb + Kec)</t>
        </is>
      </c>
    </row>
    <row r="28" ht="20" customHeight="1">
      <c r="A28" s="11" t="inlineStr">
        <is>
          <t>Fixed-End Moment (FEM)</t>
        </is>
      </c>
      <c r="B28" s="60">
        <f>(120.0 * B7 * B6^2) / 12</f>
        <v/>
      </c>
      <c r="C28" s="13" t="inlineStr">
        <is>
          <t>ft-lbs</t>
        </is>
      </c>
      <c r="D28" s="59" t="inlineStr">
        <is>
          <t>FEM = (qu * L2 * L1²) / 12</t>
        </is>
      </c>
    </row>
    <row r="29" ht="20" customHeight="1">
      <c r="A29" s="11" t="inlineStr">
        <is>
          <t>Balanced Negative Frame Joint Moment</t>
        </is>
      </c>
      <c r="B29" s="60">
        <f>B23 * (1 - B22)</f>
        <v/>
      </c>
      <c r="C29" s="13" t="inlineStr">
        <is>
          <t>ft-lbs</t>
        </is>
      </c>
      <c r="D29" s="59" t="inlineStr">
        <is>
          <t>Factored distributed negative design moment</t>
        </is>
      </c>
    </row>
  </sheetData>
  <mergeCells count="5">
    <mergeCell ref="A14:G14"/>
    <mergeCell ref="A1:G1"/>
    <mergeCell ref="A4:G4"/>
    <mergeCell ref="A2:G2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8" customWidth="1" min="3" max="3"/>
    <col width="56" customWidth="1" min="4" max="4"/>
    <col width="79" customWidth="1" min="5" max="5"/>
    <col width="12" customWidth="1" min="6" max="6"/>
    <col width="12" customWidth="1" min="7" max="7"/>
  </cols>
  <sheetData>
    <row r="1" ht="28" customHeight="1">
      <c r="A1" s="1" t="inlineStr">
        <is>
          <t>YIELD LINE THEORY: UPPER-BOUND PLASTIC COLLAPSE ANALYSIS</t>
        </is>
      </c>
    </row>
    <row r="2" ht="18" customHeight="1">
      <c r="A2" s="2" t="inlineStr">
        <is>
          <t>Virtual Work Principle W_ext = W_int • Plastic Moment Capacities &amp; Ultimate Collapse Load (Park &amp; Gamble)</t>
        </is>
      </c>
    </row>
    <row r="3" ht="10" customHeight="1"/>
    <row r="4" ht="24" customHeight="1">
      <c r="A4" s="3" t="inlineStr">
        <is>
          <t>1. SLAB GEOMETRY &amp; PLASTIC MOMENT CAPACITIES</t>
        </is>
      </c>
    </row>
    <row r="5" ht="22" customHeight="1">
      <c r="A5" s="4" t="inlineStr">
        <is>
          <t>Slab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Structural Definition / Reinforcement Ratio</t>
        </is>
      </c>
    </row>
    <row r="6" ht="20" customHeight="1">
      <c r="A6" s="11" t="inlineStr">
        <is>
          <t>Slab Clear Span in X Direction (Lx)</t>
        </is>
      </c>
      <c r="B6" s="12" t="n">
        <v>20</v>
      </c>
      <c r="C6" s="13" t="inlineStr">
        <is>
          <t>ft</t>
        </is>
      </c>
      <c r="D6" s="14" t="inlineStr">
        <is>
          <t>Longitudinal dimension between perimeter supports</t>
        </is>
      </c>
    </row>
    <row r="7" ht="20" customHeight="1">
      <c r="A7" s="11" t="inlineStr">
        <is>
          <t>Slab Clear Span in Y Direction (Ly)</t>
        </is>
      </c>
      <c r="B7" s="12" t="n">
        <v>16</v>
      </c>
      <c r="C7" s="13" t="inlineStr">
        <is>
          <t>ft</t>
        </is>
      </c>
      <c r="D7" s="14" t="inlineStr">
        <is>
          <t>Transverse dimension between perimeter supports</t>
        </is>
      </c>
    </row>
    <row r="8" ht="20" customHeight="1">
      <c r="A8" s="11" t="inlineStr">
        <is>
          <t>Unit Positive Moment Capacity in X (m_px)</t>
        </is>
      </c>
      <c r="B8" s="12" t="n">
        <v>12.5</v>
      </c>
      <c r="C8" s="13" t="inlineStr">
        <is>
          <t>ft-kips/ft</t>
        </is>
      </c>
      <c r="D8" s="14" t="inlineStr">
        <is>
          <t>Positive plastic bending capacity per unit width</t>
        </is>
      </c>
    </row>
    <row r="9" ht="20" customHeight="1">
      <c r="A9" s="11" t="inlineStr">
        <is>
          <t>Unit Positive Moment Capacity in Y (m_py)</t>
        </is>
      </c>
      <c r="B9" s="12" t="n">
        <v>10</v>
      </c>
      <c r="C9" s="13" t="inlineStr">
        <is>
          <t>ft-kips/ft</t>
        </is>
      </c>
      <c r="D9" s="14" t="inlineStr">
        <is>
          <t>Positive plastic bending capacity per unit width</t>
        </is>
      </c>
    </row>
    <row r="10" ht="20" customHeight="1">
      <c r="A10" s="11" t="inlineStr">
        <is>
          <t>Negative Support Fixity Factor in X (i_x)</t>
        </is>
      </c>
      <c r="B10" s="12" t="n">
        <v>1</v>
      </c>
      <c r="C10" s="13" t="inlineStr">
        <is>
          <t>-</t>
        </is>
      </c>
      <c r="D10" s="14" t="inlineStr">
        <is>
          <t>i_x = 1.0 for fixed support; 0.0 for simply supported</t>
        </is>
      </c>
    </row>
    <row r="11" ht="20" customHeight="1">
      <c r="A11" s="11" t="inlineStr">
        <is>
          <t>Negative Support Fixity Factor in Y (i_y)</t>
        </is>
      </c>
      <c r="B11" s="12" t="n">
        <v>1</v>
      </c>
      <c r="C11" s="13" t="inlineStr">
        <is>
          <t>-</t>
        </is>
      </c>
      <c r="D11" s="14" t="inlineStr">
        <is>
          <t>i_y = 1.0 for fixed support; 0.0 for simply supported</t>
        </is>
      </c>
    </row>
    <row r="12" ht="20" customHeight="1">
      <c r="A12" s="11" t="inlineStr">
        <is>
          <t>Applied Factored Uniform Load (q_applied)</t>
        </is>
      </c>
      <c r="B12" s="15" t="n">
        <v>280</v>
      </c>
      <c r="C12" s="13" t="inlineStr">
        <is>
          <t>psf</t>
        </is>
      </c>
      <c r="D12" s="16" t="inlineStr">
        <is>
          <t>Factored load qu = 1.2*D + 1.6*L</t>
        </is>
      </c>
    </row>
    <row r="14" ht="24" customHeight="1">
      <c r="A14" s="3" t="inlineStr">
        <is>
          <t>2. YIELD LINE COLLAPSE MECHANISM &amp; VIRTUAL WORK</t>
        </is>
      </c>
    </row>
    <row r="15" ht="22" customHeight="1">
      <c r="A15" s="4" t="inlineStr">
        <is>
          <t>Virtual Work Component</t>
        </is>
      </c>
      <c r="B15" s="4" t="inlineStr">
        <is>
          <t>Governing Equation</t>
        </is>
      </c>
      <c r="C15" s="4" t="inlineStr">
        <is>
          <t>Calculated Value</t>
        </is>
      </c>
      <c r="D15" s="4" t="inlineStr">
        <is>
          <t>Units</t>
        </is>
      </c>
      <c r="E15" s="4" t="inlineStr">
        <is>
          <t>Plastic Energy Formulation</t>
        </is>
      </c>
    </row>
    <row r="16" ht="20" customHeight="1">
      <c r="A16" s="11" t="inlineStr">
        <is>
          <t>Orthotropic Moment Ratio (mu = m_py / m_px)</t>
        </is>
      </c>
      <c r="B16" s="37">
        <f>B7 / B6</f>
        <v/>
      </c>
      <c r="C16" s="20">
        <f>B7 / B6</f>
        <v/>
      </c>
      <c r="D16" s="38" t="inlineStr">
        <is>
          <t>-</t>
        </is>
      </c>
      <c r="E16" s="38" t="inlineStr">
        <is>
          <t>Moment anisotropy ratio</t>
        </is>
      </c>
    </row>
    <row r="17" ht="20" customHeight="1">
      <c r="A17" s="11" t="inlineStr">
        <is>
          <t>Yield Pattern Parameter (x)</t>
        </is>
      </c>
      <c r="B17" s="30">
        <f>(B7/2) * (SQRT(3*(B6/B7)^2*C12 + 1) - 1)</f>
        <v/>
      </c>
      <c r="C17" s="20">
        <f>(B7/2) * (SQRT(3*(B6/B7)^2*C12 + 1) - 1)</f>
        <v/>
      </c>
      <c r="D17" s="14" t="inlineStr">
        <is>
          <t>ft</t>
        </is>
      </c>
      <c r="E17" s="14" t="inlineStr">
        <is>
          <t>Yield line apex distance along X axis</t>
        </is>
      </c>
    </row>
    <row r="18" ht="20" customHeight="1">
      <c r="A18" s="11" t="inlineStr">
        <is>
          <t>Internal Energy Dissipation (D_int)</t>
        </is>
      </c>
      <c r="B18" s="18" t="inlineStr">
        <is>
          <t>SUM(m * theta * L_yield)</t>
        </is>
      </c>
      <c r="C18" s="20">
        <f>2 * (B6*(1+B8)*B7/D13 + B7*(1+B9)*B6/(B7/2))</f>
        <v/>
      </c>
      <c r="D18" s="18" t="inlineStr">
        <is>
          <t>kips-ft</t>
        </is>
      </c>
      <c r="E18" s="18" t="inlineStr">
        <is>
          <t>Energy dissipated along yield hinges</t>
        </is>
      </c>
    </row>
    <row r="19" ht="20" customHeight="1">
      <c r="A19" s="11" t="inlineStr">
        <is>
          <t>External Work Done by Load (W_ext)</t>
        </is>
      </c>
      <c r="B19" s="18" t="inlineStr">
        <is>
          <t>INTEGRAL(w * delta * dA)</t>
        </is>
      </c>
      <c r="C19" s="20">
        <f>(B6*B7/6) * (3 - 2*D13/B6)</f>
        <v/>
      </c>
      <c r="D19" s="18" t="inlineStr">
        <is>
          <t>ft³</t>
        </is>
      </c>
      <c r="E19" s="18" t="inlineStr">
        <is>
          <t>Volume of virtual displacement pyramid</t>
        </is>
      </c>
    </row>
    <row r="20" ht="20" customHeight="1">
      <c r="A20" s="23" t="inlineStr">
        <is>
          <t>ULTIMATE PLASTIC COLLAPSE LOAD (w_u)</t>
        </is>
      </c>
      <c r="B20" s="26">
        <f>C14 / C15 * 1000</f>
        <v/>
      </c>
      <c r="C20" s="25">
        <f>(C14 / C15) * 1000</f>
        <v/>
      </c>
      <c r="D20" s="24" t="inlineStr">
        <is>
          <t>psf</t>
        </is>
      </c>
      <c r="E20" s="24" t="inlineStr">
        <is>
          <t>w_u = D_int / W_ext (Upper bound limit)</t>
        </is>
      </c>
    </row>
    <row r="22" ht="24" customHeight="1">
      <c r="A22" s="3" t="inlineStr">
        <is>
          <t>3. STRUCTURAL DEMAND-TO-CAPACITY RATIO (DCR)</t>
        </is>
      </c>
    </row>
    <row r="23" ht="22" customHeight="1">
      <c r="A23" s="4" t="inlineStr">
        <is>
          <t>Plastic Design Parameter</t>
        </is>
      </c>
      <c r="B23" s="4" t="inlineStr">
        <is>
          <t>Applied Demand</t>
        </is>
      </c>
      <c r="C23" s="4" t="inlineStr">
        <is>
          <t>Ultimate Capacity</t>
        </is>
      </c>
      <c r="D23" s="4" t="inlineStr">
        <is>
          <t>Safety Margin / DCR</t>
        </is>
      </c>
      <c r="E23" s="4" t="inlineStr">
        <is>
          <t>Plastic Design Status</t>
        </is>
      </c>
    </row>
    <row r="24" ht="20" customHeight="1">
      <c r="A24" s="11" t="inlineStr">
        <is>
          <t>Factored Load vs. Collapse Load</t>
        </is>
      </c>
      <c r="B24" s="27">
        <f>B10</f>
        <v/>
      </c>
      <c r="C24" s="57">
        <f>C16</f>
        <v/>
      </c>
      <c r="D24" s="29">
        <f>B10 / C16</f>
        <v/>
      </c>
      <c r="E24" s="29">
        <f>IF((B10/C16)&lt;=1.0, "PASS - PLASTICALLY SAFE", "FAIL - MECHANISM COLLAPSE!")</f>
        <v/>
      </c>
    </row>
  </sheetData>
  <mergeCells count="5">
    <mergeCell ref="A14:G14"/>
    <mergeCell ref="A1:G1"/>
    <mergeCell ref="A22:G22"/>
    <mergeCell ref="A4:G4"/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6" customWidth="1" min="2" max="2"/>
    <col width="29" customWidth="1" min="3" max="3"/>
    <col width="51" customWidth="1" min="4" max="4"/>
    <col width="57" customWidth="1" min="5" max="5"/>
    <col width="12" customWidth="1" min="6" max="6"/>
    <col width="12" customWidth="1" min="7" max="7"/>
  </cols>
  <sheetData>
    <row r="1" ht="28" customHeight="1">
      <c r="A1" s="1" t="inlineStr">
        <is>
          <t>HILLERBORG ADVANCED STRIP METHOD: LOWER-BOUND PLASTIC SLAB DESIGN</t>
        </is>
      </c>
    </row>
    <row r="2" ht="18" customHeight="1">
      <c r="A2" s="2" t="inlineStr">
        <is>
          <t>Orthogonal Load Division alpha_x + alpha_y = 1 • Column Support Bands &amp; Middle Field Strips</t>
        </is>
      </c>
    </row>
    <row r="3" ht="10" customHeight="1"/>
    <row r="4" ht="24" customHeight="1">
      <c r="A4" s="3" t="inlineStr">
        <is>
          <t>1. SLAB GEOMETRY &amp; LOAD DISPERSION COEFFICIENTS</t>
        </is>
      </c>
    </row>
    <row r="5" ht="22" customHeight="1">
      <c r="A5" s="4" t="inlineStr">
        <is>
          <t>Strip Method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Hillerborg Design Selection / Criteria</t>
        </is>
      </c>
    </row>
    <row r="6" ht="20" customHeight="1">
      <c r="A6" s="11" t="inlineStr">
        <is>
          <t>Slab Span in X Direction (L_x)</t>
        </is>
      </c>
      <c r="B6" s="12" t="n">
        <v>22</v>
      </c>
      <c r="C6" s="13" t="inlineStr">
        <is>
          <t>ft</t>
        </is>
      </c>
      <c r="D6" s="14" t="inlineStr">
        <is>
          <t>Clear span between supporting walls/beams</t>
        </is>
      </c>
    </row>
    <row r="7" ht="20" customHeight="1">
      <c r="A7" s="11" t="inlineStr">
        <is>
          <t>Slab Span in Y Direction (L_y)</t>
        </is>
      </c>
      <c r="B7" s="12" t="n">
        <v>18</v>
      </c>
      <c r="C7" s="13" t="inlineStr">
        <is>
          <t>ft</t>
        </is>
      </c>
      <c r="D7" s="14" t="inlineStr">
        <is>
          <t>Clear span between supporting walls/beams</t>
        </is>
      </c>
    </row>
    <row r="8" ht="20" customHeight="1">
      <c r="A8" s="11" t="inlineStr">
        <is>
          <t>Total Factored Uniform Load (q)</t>
        </is>
      </c>
      <c r="B8" s="15" t="n">
        <v>220</v>
      </c>
      <c r="C8" s="13" t="inlineStr">
        <is>
          <t>psf</t>
        </is>
      </c>
      <c r="D8" s="16" t="inlineStr">
        <is>
          <t>Factored gravity load to be distributed</t>
        </is>
      </c>
    </row>
    <row r="9" ht="20" customHeight="1">
      <c r="A9" s="11" t="inlineStr">
        <is>
          <t>Selected X-Direction Load Fraction (alpha_x)</t>
        </is>
      </c>
      <c r="B9" s="12" t="n">
        <v>0.55</v>
      </c>
      <c r="C9" s="13" t="inlineStr">
        <is>
          <t>-</t>
        </is>
      </c>
      <c r="D9" s="14" t="inlineStr">
        <is>
          <t>Portion of load carried by X strips (0.0 to 1.0)</t>
        </is>
      </c>
    </row>
    <row r="10" ht="20" customHeight="1">
      <c r="A10" s="11" t="inlineStr">
        <is>
          <t>Resulting Y-Direction Load Fraction (alpha_y)</t>
        </is>
      </c>
      <c r="B10" s="30">
        <f>1.0 - B7</f>
        <v/>
      </c>
      <c r="C10" s="13" t="inlineStr">
        <is>
          <t>-</t>
        </is>
      </c>
      <c r="D10" s="14" t="inlineStr">
        <is>
          <t>alpha_y = 1.0 - alpha_x (Equilibrium rule)</t>
        </is>
      </c>
    </row>
    <row r="11" ht="20" customHeight="1">
      <c r="A11" s="11" t="inlineStr">
        <is>
          <t>Dispersed Load in X Direction (q_x)</t>
        </is>
      </c>
      <c r="B11" s="22">
        <f>B6 * B7</f>
        <v/>
      </c>
      <c r="C11" s="13" t="inlineStr">
        <is>
          <t>psf</t>
        </is>
      </c>
      <c r="D11" s="18" t="inlineStr">
        <is>
          <t>q_x = alpha_x * q</t>
        </is>
      </c>
    </row>
    <row r="12" ht="20" customHeight="1">
      <c r="A12" s="11" t="inlineStr">
        <is>
          <t>Dispersed Load in Y Direction (q_y)</t>
        </is>
      </c>
      <c r="B12" s="22">
        <f>B6 * B8</f>
        <v/>
      </c>
      <c r="C12" s="13" t="inlineStr">
        <is>
          <t>psf</t>
        </is>
      </c>
      <c r="D12" s="18" t="inlineStr">
        <is>
          <t>q_y = alpha_y * q</t>
        </is>
      </c>
    </row>
    <row r="14" ht="24" customHeight="1">
      <c r="A14" s="3" t="inlineStr">
        <is>
          <t>2. STRIP BENDING MOMENTS &amp; STEEL REINFORCEMENT SIZING</t>
        </is>
      </c>
    </row>
    <row r="15" ht="22" customHeight="1">
      <c r="A15" s="4" t="inlineStr">
        <is>
          <t>Strip Location</t>
        </is>
      </c>
      <c r="B15" s="4" t="inlineStr">
        <is>
          <t>Governing Strip Formula</t>
        </is>
      </c>
      <c r="C15" s="4" t="inlineStr">
        <is>
          <t>Maximum Moment (ft-lbs/ft)</t>
        </is>
      </c>
      <c r="D15" s="4" t="inlineStr">
        <is>
          <t>Effective Depth d (in)</t>
        </is>
      </c>
      <c r="E15" s="4" t="inlineStr">
        <is>
          <t>Required Steel Area As (in²/ft)</t>
        </is>
      </c>
    </row>
    <row r="16" ht="20" customHeight="1">
      <c r="A16" s="11" t="inlineStr">
        <is>
          <t>Middle Field Strip in X Direction</t>
        </is>
      </c>
      <c r="B16" s="30">
        <f>(B9 * B6^2) / 8</f>
        <v/>
      </c>
      <c r="C16" s="20">
        <f>(B9 * B6^2) / 8</f>
        <v/>
      </c>
      <c r="D16" s="30" t="n">
        <v>6.5</v>
      </c>
      <c r="E16" s="30">
        <f>((B9 * B6^2) / 8) * 12 / (0.90 * 60000 * 0.90 * D13)</f>
        <v/>
      </c>
    </row>
    <row r="17" ht="20" customHeight="1">
      <c r="A17" s="11" t="inlineStr">
        <is>
          <t>Middle Field Strip in Y Direction</t>
        </is>
      </c>
      <c r="B17" s="30">
        <f>(B10 * B5^2) / 8</f>
        <v/>
      </c>
      <c r="C17" s="20">
        <f>(B10 * B5^2) / 8</f>
        <v/>
      </c>
      <c r="D17" s="30" t="n">
        <v>6.5</v>
      </c>
      <c r="E17" s="30">
        <f>((B10 * B5^2) / 8) * 12 / (0.90 * 60000 * 0.90 * D14)</f>
        <v/>
      </c>
    </row>
    <row r="18" ht="20" customHeight="1">
      <c r="A18" s="11" t="inlineStr">
        <is>
          <t>Column Support Band Strip in X</t>
        </is>
      </c>
      <c r="B18" s="30">
        <f>1.5 * C13</f>
        <v/>
      </c>
      <c r="C18" s="20">
        <f>1.5 * C13</f>
        <v/>
      </c>
      <c r="D18" s="30" t="n">
        <v>6.5</v>
      </c>
      <c r="E18" s="30">
        <f>(1.5 * C13) * 12 / (0.90 * 60000 * 0.90 * D15)</f>
        <v/>
      </c>
    </row>
    <row r="19" ht="20" customHeight="1">
      <c r="A19" s="11" t="inlineStr">
        <is>
          <t>Column Support Band Strip in Y</t>
        </is>
      </c>
      <c r="B19" s="30">
        <f>1.5 * C14</f>
        <v/>
      </c>
      <c r="C19" s="20">
        <f>1.5 * C14</f>
        <v/>
      </c>
      <c r="D19" s="30" t="n">
        <v>6.5</v>
      </c>
      <c r="E19" s="30">
        <f>(1.5 * C14) * 12 / (0.90 * 60000 * 0.90 * D16)</f>
        <v/>
      </c>
    </row>
    <row r="21" ht="24" customHeight="1">
      <c r="A21" s="3" t="inlineStr">
        <is>
          <t>3. CODE MINIMUM REINFORCEMENT VERIFICATION (ACI 318 § 7.6.1)</t>
        </is>
      </c>
    </row>
    <row r="22" ht="22" customHeight="1">
      <c r="A22" s="4" t="inlineStr">
        <is>
          <t>Reinforcement Check</t>
        </is>
      </c>
      <c r="B22" s="4" t="inlineStr">
        <is>
          <t>Calculated Steel Area</t>
        </is>
      </c>
      <c r="C22" s="4" t="inlineStr">
        <is>
          <t>ACI Minimum As,min</t>
        </is>
      </c>
      <c r="D22" s="4" t="inlineStr">
        <is>
          <t>Bar Size &amp; Spacing Recommendation</t>
        </is>
      </c>
      <c r="E22" s="4" t="inlineStr">
        <is>
          <t>Status</t>
        </is>
      </c>
    </row>
    <row r="23" ht="20" customHeight="1">
      <c r="A23" s="11" t="inlineStr">
        <is>
          <t>X Direction Field Strip Steel</t>
        </is>
      </c>
      <c r="B23" s="27">
        <f>E13</f>
        <v/>
      </c>
      <c r="C23" s="57">
        <f>0.0018 * 12 * 7.5</f>
        <v/>
      </c>
      <c r="D23" s="36" t="inlineStr">
        <is>
          <t>#4 @ 12" o.c. (As = 0.20 in²/ft)</t>
        </is>
      </c>
      <c r="E23" s="29">
        <f>IF(B19&gt;=C19, "PASS", "GOVERNED BY MINIMUM")</f>
        <v/>
      </c>
    </row>
    <row r="24" ht="20" customHeight="1">
      <c r="A24" s="11" t="inlineStr">
        <is>
          <t>Y Direction Field Strip Steel</t>
        </is>
      </c>
      <c r="B24" s="27">
        <f>E14</f>
        <v/>
      </c>
      <c r="C24" s="57">
        <f>0.0018 * 12 * 7.5</f>
        <v/>
      </c>
      <c r="D24" s="36" t="inlineStr">
        <is>
          <t>#4 @ 12" o.c. (As = 0.20 in²/ft)</t>
        </is>
      </c>
      <c r="E24" s="29">
        <f>IF(B20&gt;=C20, "PASS", "GOVERNED BY MINIMUM")</f>
        <v/>
      </c>
    </row>
  </sheetData>
  <mergeCells count="5">
    <mergeCell ref="A14:G14"/>
    <mergeCell ref="A1:G1"/>
    <mergeCell ref="A21:G21"/>
    <mergeCell ref="A4:G4"/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61" customWidth="1" min="2" max="2"/>
    <col width="58" customWidth="1" min="3" max="3"/>
    <col width="51" customWidth="1" min="4" max="4"/>
    <col width="97" customWidth="1" min="5" max="5"/>
    <col width="12" customWidth="1" min="6" max="6"/>
    <col width="12" customWidth="1" min="7" max="7"/>
  </cols>
  <sheetData>
    <row r="1" ht="28" customHeight="1">
      <c r="A1" s="1" t="inlineStr">
        <is>
          <t>ACI 318-19 TWO-WAY PUNCHING SHEAR VERIFICATION</t>
        </is>
      </c>
    </row>
    <row r="2" ht="18" customHeight="1">
      <c r="A2" s="2" t="inlineStr">
        <is>
          <t>Critical Perimeter bo at d/2 • Concrete Shear Strength Vc (Min of 3 Equations) • Headed Stud Rail Sizing</t>
        </is>
      </c>
    </row>
    <row r="3" ht="10" customHeight="1"/>
    <row r="4" ht="24" customHeight="1">
      <c r="A4" s="3" t="inlineStr">
        <is>
          <t>1. COLUMN &amp; SLAB GEOMETRY INPUTS (ACI 318-19 § 22.6)</t>
        </is>
      </c>
    </row>
    <row r="5" ht="22" customHeight="1">
      <c r="A5" s="4" t="inlineStr">
        <is>
          <t>Design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ACI 318 Section / Specification</t>
        </is>
      </c>
    </row>
    <row r="6" ht="20" customHeight="1">
      <c r="A6" s="11" t="inlineStr">
        <is>
          <t>Slab Effective Depth (d)</t>
        </is>
      </c>
      <c r="B6" s="12" t="n">
        <v>7</v>
      </c>
      <c r="C6" s="13" t="inlineStr">
        <is>
          <t>inches</t>
        </is>
      </c>
      <c r="D6" s="14" t="inlineStr">
        <is>
          <t>Average effective depth d = h - 1.5 in</t>
        </is>
      </c>
    </row>
    <row r="7" ht="20" customHeight="1">
      <c r="A7" s="11" t="inlineStr">
        <is>
          <t>Column Width in X (c1)</t>
        </is>
      </c>
      <c r="B7" s="15" t="n">
        <v>18</v>
      </c>
      <c r="C7" s="13" t="inlineStr">
        <is>
          <t>inches</t>
        </is>
      </c>
      <c r="D7" s="16" t="inlineStr">
        <is>
          <t>Column face dimension parallel to span 1</t>
        </is>
      </c>
    </row>
    <row r="8" ht="20" customHeight="1">
      <c r="A8" s="11" t="inlineStr">
        <is>
          <t>Column Width in Y (c2)</t>
        </is>
      </c>
      <c r="B8" s="15" t="n">
        <v>18</v>
      </c>
      <c r="C8" s="13" t="inlineStr">
        <is>
          <t>inches</t>
        </is>
      </c>
      <c r="D8" s="16" t="inlineStr">
        <is>
          <t>Column face dimension parallel to span 2</t>
        </is>
      </c>
    </row>
    <row r="9" ht="20" customHeight="1">
      <c r="A9" s="11" t="inlineStr">
        <is>
          <t>Column Location Type</t>
        </is>
      </c>
      <c r="B9" s="65" t="inlineStr">
        <is>
          <t>Interior</t>
        </is>
      </c>
      <c r="C9" s="13" t="inlineStr">
        <is>
          <t>-</t>
        </is>
      </c>
      <c r="D9" s="13" t="inlineStr">
        <is>
          <t>Interior (alpha_s = 40), Edge (30), Corner (20)</t>
        </is>
      </c>
    </row>
    <row r="10" ht="20" customHeight="1">
      <c r="A10" s="11" t="inlineStr">
        <is>
          <t>Location Factor (alpha_s)</t>
        </is>
      </c>
      <c r="B10" s="15" t="n">
        <v>40</v>
      </c>
      <c r="C10" s="13" t="inlineStr">
        <is>
          <t>-</t>
        </is>
      </c>
      <c r="D10" s="16" t="inlineStr">
        <is>
          <t>Interior column connection factor</t>
        </is>
      </c>
    </row>
    <row r="11" ht="20" customHeight="1">
      <c r="A11" s="11" t="inlineStr">
        <is>
          <t>Concrete Compressive Strength (f'c)</t>
        </is>
      </c>
      <c r="B11" s="17" t="n">
        <v>4000</v>
      </c>
      <c r="C11" s="13" t="inlineStr">
        <is>
          <t>psi</t>
        </is>
      </c>
      <c r="D11" s="18" t="inlineStr">
        <is>
          <t>Standard concrete 28-day strength</t>
        </is>
      </c>
    </row>
    <row r="12" ht="20" customHeight="1">
      <c r="A12" s="11" t="inlineStr">
        <is>
          <t>Lightweight Concrete Factor (lambda)</t>
        </is>
      </c>
      <c r="B12" s="12" t="n">
        <v>1</v>
      </c>
      <c r="C12" s="13" t="inlineStr">
        <is>
          <t>-</t>
        </is>
      </c>
      <c r="D12" s="14" t="inlineStr">
        <is>
          <t>Normal-weight concrete lambda = 1.0</t>
        </is>
      </c>
    </row>
    <row r="13" ht="20" customHeight="1">
      <c r="A13" s="11" t="inlineStr">
        <is>
          <t>Factored Ultimate Shear Force (Vu)</t>
        </is>
      </c>
      <c r="B13" s="15" t="n">
        <v>110</v>
      </c>
      <c r="C13" s="13" t="inlineStr">
        <is>
          <t>kips</t>
        </is>
      </c>
      <c r="D13" s="16" t="inlineStr">
        <is>
          <t>Factored column reaction load from analysis</t>
        </is>
      </c>
    </row>
    <row r="14"/>
    <row r="15" ht="24" customHeight="1">
      <c r="A15" s="3" t="inlineStr">
        <is>
          <t>2. CRITICAL SHEAR PERIMETER (bo) AT d/2</t>
        </is>
      </c>
    </row>
    <row r="16" ht="22" customHeight="1">
      <c r="A16" s="4" t="inlineStr">
        <is>
          <t>Perimeter Parameter</t>
        </is>
      </c>
      <c r="B16" s="4" t="inlineStr">
        <is>
          <t>Calculated Value</t>
        </is>
      </c>
      <c r="C16" s="4" t="inlineStr">
        <is>
          <t>Units</t>
        </is>
      </c>
      <c r="D16" s="4" t="inlineStr">
        <is>
          <t>Geometric Derivation / ACI Definition</t>
        </is>
      </c>
    </row>
    <row r="17" ht="20" customHeight="1">
      <c r="A17" s="11" t="inlineStr">
        <is>
          <t>Long-to-Short Column Ratio (beta)</t>
        </is>
      </c>
      <c r="B17" s="30">
        <f>MAX(B7, B8) / MIN(B7, B8)</f>
        <v/>
      </c>
      <c r="C17" s="13" t="inlineStr">
        <is>
          <t>-</t>
        </is>
      </c>
      <c r="D17" s="14" t="inlineStr">
        <is>
          <t>beta = c_long / c_short</t>
        </is>
      </c>
    </row>
    <row r="18" ht="20" customHeight="1">
      <c r="A18" s="23" t="inlineStr">
        <is>
          <t>Critical Perimeter (bo)</t>
        </is>
      </c>
      <c r="B18" s="26">
        <f>2*(B7 + B6) + 2*(B8 + B6)</f>
        <v/>
      </c>
      <c r="C18" s="54" t="inlineStr">
        <is>
          <t>inches</t>
        </is>
      </c>
      <c r="D18" s="24" t="inlineStr">
        <is>
          <t>bo = 2*(c1 + d) + 2*(c2 + d) for interior column</t>
        </is>
      </c>
    </row>
    <row r="19" ht="20" customHeight="1">
      <c r="A19" s="11" t="inlineStr">
        <is>
          <t>Critical Punching Shear Area (Ac = bo * d)</t>
        </is>
      </c>
      <c r="B19" s="22">
        <f>B18 * B6</f>
        <v/>
      </c>
      <c r="C19" s="13" t="inlineStr">
        <is>
          <t>sq inches</t>
        </is>
      </c>
      <c r="D19" s="18" t="inlineStr">
        <is>
          <t>Ac = bo * d</t>
        </is>
      </c>
    </row>
    <row r="20"/>
    <row r="21" ht="24" customHeight="1">
      <c r="A21" s="3" t="inlineStr">
        <is>
          <t>3. NOMINAL CONCRETE TWO-WAY SHEAR CAPACITY (Vc)</t>
        </is>
      </c>
    </row>
    <row r="22" ht="22" customHeight="1">
      <c r="A22" s="4" t="inlineStr">
        <is>
          <t>ACI 318 Equation</t>
        </is>
      </c>
      <c r="B22" s="4" t="inlineStr">
        <is>
          <t>Governing Formula</t>
        </is>
      </c>
      <c r="C22" s="4" t="inlineStr">
        <is>
          <t>Calculated Vc (kips)</t>
        </is>
      </c>
      <c r="D22" s="4" t="inlineStr">
        <is>
          <t>Governing Code Check</t>
        </is>
      </c>
    </row>
    <row r="23" ht="20" customHeight="1">
      <c r="A23" s="11" t="inlineStr">
        <is>
          <t>Equation 1: Aspect Ratio Form</t>
        </is>
      </c>
      <c r="B23" s="14" t="inlineStr">
        <is>
          <t>Vc1 = (2 + 4/beta) * lambda * sqrt(f'c) * bo * d</t>
        </is>
      </c>
      <c r="C23" s="20">
        <f>(2 + 4/B17) * B12 * SQRT(B11) * B18 * B6 / 1000</f>
        <v/>
      </c>
      <c r="D23" s="14" t="inlineStr">
        <is>
          <t>ACI 318-19 Eq. 22.6.5.2(a)</t>
        </is>
      </c>
    </row>
    <row r="24" ht="20" customHeight="1">
      <c r="A24" s="11" t="inlineStr">
        <is>
          <t>Equation 2: Column Location Form</t>
        </is>
      </c>
      <c r="B24" s="14" t="inlineStr">
        <is>
          <t>Vc2 = (alpha_s * d / bo + 2) * lambda * sqrt(f'c) * bo * d</t>
        </is>
      </c>
      <c r="C24" s="20">
        <f>(B10 * B6 / B18 + 2) * B12 * SQRT(B11) * B18 * B6 / 1000</f>
        <v/>
      </c>
      <c r="D24" s="14" t="inlineStr">
        <is>
          <t>ACI 318-19 Eq. 22.6.5.2(b)</t>
        </is>
      </c>
    </row>
    <row r="25" ht="20" customHeight="1">
      <c r="A25" s="11" t="inlineStr">
        <is>
          <t>Equation 3: Upper Limit Form</t>
        </is>
      </c>
      <c r="B25" s="14" t="inlineStr">
        <is>
          <t>Vc3 = 4 * lambda * sqrt(f'c) * bo * d</t>
        </is>
      </c>
      <c r="C25" s="20">
        <f>4 * B12 * SQRT(B11) * B18 * B6 / 1000</f>
        <v/>
      </c>
      <c r="D25" s="14" t="inlineStr">
        <is>
          <t>ACI 318-19 Eq. 22.6.5.2(c)</t>
        </is>
      </c>
    </row>
    <row r="26" ht="20" customHeight="1">
      <c r="A26" s="23" t="inlineStr">
        <is>
          <t>GOVERNING NOMINAL CAPACITY (Vc)</t>
        </is>
      </c>
      <c r="B26" s="44" t="inlineStr">
        <is>
          <t>MIN(Vc1, Vc2, Vc3)</t>
        </is>
      </c>
      <c r="C26" s="25">
        <f>MIN(C23, C24, C25)</f>
        <v/>
      </c>
      <c r="D26" s="44" t="inlineStr">
        <is>
          <t>Governing concrete shear resistance</t>
        </is>
      </c>
    </row>
    <row r="27" ht="20" customHeight="1">
      <c r="A27" s="23" t="inlineStr">
        <is>
          <t>Design Concrete Shear Strength (phi*Vc)</t>
        </is>
      </c>
      <c r="B27" s="44" t="inlineStr">
        <is>
          <t>phi = 0.75 * Vc</t>
        </is>
      </c>
      <c r="C27" s="25">
        <f>0.75 * C26</f>
        <v/>
      </c>
      <c r="D27" s="44" t="inlineStr">
        <is>
          <t>ACI 318 strength reduction factor phi = 0.75</t>
        </is>
      </c>
    </row>
    <row r="28"/>
    <row r="29" ht="24" customHeight="1">
      <c r="A29" s="3" t="inlineStr">
        <is>
          <t>4. PUNCHING SHEAR COMPLIANCE &amp; STUD REINFORCEMENT CHECK</t>
        </is>
      </c>
    </row>
    <row r="30" ht="22" customHeight="1">
      <c r="A30" s="4" t="inlineStr">
        <is>
          <t>Design Verification Parameter</t>
        </is>
      </c>
      <c r="B30" s="4" t="inlineStr">
        <is>
          <t>Factored Demand</t>
        </is>
      </c>
      <c r="C30" s="4" t="inlineStr">
        <is>
          <t>Design Capacity</t>
        </is>
      </c>
      <c r="D30" s="4" t="inlineStr">
        <is>
          <t>Demand/Capacity Ratio</t>
        </is>
      </c>
      <c r="E30" s="4" t="inlineStr">
        <is>
          <t>Punching Shear Status</t>
        </is>
      </c>
    </row>
    <row r="31" ht="20" customHeight="1">
      <c r="A31" s="11" t="inlineStr">
        <is>
          <t>Factored Shear Force vs. phi*Vc</t>
        </is>
      </c>
      <c r="B31" s="27">
        <f>B11</f>
        <v/>
      </c>
      <c r="C31" s="57">
        <f>C23</f>
        <v/>
      </c>
      <c r="D31" s="29">
        <f>B11 / C23</f>
        <v/>
      </c>
      <c r="E31" s="29">
        <f>IF(B11&lt;=C23, "PASS - SLAB ADEQUATE (NO REINFORCEMENT)", "FAIL - HEADED SHEAR STUDS REQUIRED")</f>
        <v/>
      </c>
    </row>
    <row r="32" ht="20" customHeight="1">
      <c r="A32" s="11" t="inlineStr">
        <is>
          <t>Factored Shear Stress (vu)</t>
        </is>
      </c>
      <c r="B32" s="39">
        <f>(B13 * 1000) / (B18 * B6)</f>
        <v/>
      </c>
      <c r="C32" s="57">
        <f>0.75 * (C26 * 1000) / (B18 * B6)</f>
        <v/>
      </c>
      <c r="D32" s="41">
        <f>B26 / C26</f>
        <v/>
      </c>
      <c r="E32" s="41">
        <f>IF(B26&lt;=C26, "PASS - SHEAR STRESS SAFE", "FAIL - OVERSTRESSED")</f>
        <v/>
      </c>
    </row>
  </sheetData>
  <mergeCells count="6">
    <mergeCell ref="A1:G1"/>
    <mergeCell ref="A21:G21"/>
    <mergeCell ref="A4:G4"/>
    <mergeCell ref="A2:G2"/>
    <mergeCell ref="A15:G15"/>
    <mergeCell ref="A29:G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70" customWidth="1" min="2" max="2"/>
    <col width="100" customWidth="1" min="3" max="3"/>
    <col width="56" customWidth="1" min="4" max="4"/>
    <col width="98" customWidth="1" min="5" max="5"/>
    <col width="115" customWidth="1" min="6" max="6"/>
    <col width="31" customWidth="1" min="7" max="7"/>
  </cols>
  <sheetData>
    <row r="1" ht="28" customHeight="1">
      <c r="A1" s="1" t="inlineStr">
        <is>
          <t>EMBANKMENT SLOPE STABILITY &amp; CIRCULAR ROTATIONAL ARC SLICES</t>
        </is>
      </c>
    </row>
    <row r="2" ht="18" customHeight="1">
      <c r="A2" s="2" t="inlineStr">
        <is>
          <t>Infinite Slope Steady-State Seepage • Bishop's Simplified Method of Slices (NCEES § 6.2.4)</t>
        </is>
      </c>
    </row>
    <row r="3" ht="10" customHeight="1"/>
    <row r="4" ht="24" customHeight="1">
      <c r="A4" s="3" t="inlineStr">
        <is>
          <t>1. EMBANKMENT GEOMETRY &amp; SOIL PROPERTIES</t>
        </is>
      </c>
    </row>
    <row r="5" ht="22" customHeight="1">
      <c r="A5" s="4" t="inlineStr">
        <is>
          <t>Geotechnical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Laboratory Testing Method / Standard</t>
        </is>
      </c>
    </row>
    <row r="6" ht="20" customHeight="1">
      <c r="A6" s="11" t="inlineStr">
        <is>
          <t>Embankment Slope Height (H)</t>
        </is>
      </c>
      <c r="B6" s="12" t="n">
        <v>25</v>
      </c>
      <c r="C6" s="13" t="inlineStr">
        <is>
          <t>ft</t>
        </is>
      </c>
      <c r="D6" s="14" t="inlineStr">
        <is>
          <t>Vertical relief from toe to crest</t>
        </is>
      </c>
    </row>
    <row r="7" ht="20" customHeight="1">
      <c r="A7" s="11" t="inlineStr">
        <is>
          <t>Slope Horizontal Run (per 1 ft vertical)</t>
        </is>
      </c>
      <c r="B7" s="12" t="n">
        <v>2</v>
      </c>
      <c r="C7" s="13" t="inlineStr">
        <is>
          <t>H:1V</t>
        </is>
      </c>
      <c r="D7" s="14" t="inlineStr">
        <is>
          <t>2:1 standard roadway embankment slope</t>
        </is>
      </c>
    </row>
    <row r="8" ht="20" customHeight="1">
      <c r="A8" s="11" t="inlineStr">
        <is>
          <t>Slope Inclination Angle (beta)</t>
        </is>
      </c>
      <c r="B8" s="30">
        <f>DEGREES(ATAN(1 / B5))</f>
        <v/>
      </c>
      <c r="C8" s="13" t="inlineStr">
        <is>
          <t>deg</t>
        </is>
      </c>
      <c r="D8" s="14" t="inlineStr">
        <is>
          <t>beta = arctan(1 / H_ratio) = 26.57 deg</t>
        </is>
      </c>
    </row>
    <row r="9" ht="20" customHeight="1">
      <c r="A9" s="11" t="inlineStr">
        <is>
          <t>Effective Cohesion (c')</t>
        </is>
      </c>
      <c r="B9" s="15" t="n">
        <v>350</v>
      </c>
      <c r="C9" s="13" t="inlineStr">
        <is>
          <t>psf</t>
        </is>
      </c>
      <c r="D9" s="16" t="inlineStr">
        <is>
          <t>Consolidated-drained triaxial test cohesion intercept</t>
        </is>
      </c>
    </row>
    <row r="10" ht="20" customHeight="1">
      <c r="A10" s="11" t="inlineStr">
        <is>
          <t>Effective Friction Angle (phi')</t>
        </is>
      </c>
      <c r="B10" s="15" t="n">
        <v>28</v>
      </c>
      <c r="C10" s="13" t="inlineStr">
        <is>
          <t>deg</t>
        </is>
      </c>
      <c r="D10" s="16" t="inlineStr">
        <is>
          <t>Consolidated-drained effective friction angle</t>
        </is>
      </c>
    </row>
    <row r="11" ht="20" customHeight="1">
      <c r="A11" s="11" t="inlineStr">
        <is>
          <t>Total Soil Unit Weight (gamma)</t>
        </is>
      </c>
      <c r="B11" s="15" t="n">
        <v>122</v>
      </c>
      <c r="C11" s="13" t="inlineStr">
        <is>
          <t>pcf</t>
        </is>
      </c>
      <c r="D11" s="16" t="inlineStr">
        <is>
          <t>Total moist compacted unit weight</t>
        </is>
      </c>
    </row>
    <row r="12" ht="20" customHeight="1">
      <c r="A12" s="11" t="inlineStr">
        <is>
          <t>Water Unit Weight (gamma_w)</t>
        </is>
      </c>
      <c r="B12" s="56" t="n">
        <v>62.4</v>
      </c>
      <c r="C12" s="13" t="inlineStr">
        <is>
          <t>pcf</t>
        </is>
      </c>
      <c r="D12" s="16" t="inlineStr">
        <is>
          <t>Unit weight of pore water</t>
        </is>
      </c>
    </row>
    <row r="14" ht="24" customHeight="1">
      <c r="A14" s="3" t="inlineStr">
        <is>
          <t>2. INFINITE SLOPE STABILITY: DRY VS. STEADY-STATE SEEPAGE</t>
        </is>
      </c>
    </row>
    <row r="15" ht="22" customHeight="1">
      <c r="A15" s="4" t="inlineStr">
        <is>
          <t>Seepage Condition</t>
        </is>
      </c>
      <c r="B15" s="4" t="inlineStr">
        <is>
          <t>Governing Formula</t>
        </is>
      </c>
      <c r="C15" s="4" t="inlineStr">
        <is>
          <t>Calculated FS</t>
        </is>
      </c>
      <c r="D15" s="4" t="inlineStr">
        <is>
          <t>Code Target Limit</t>
        </is>
      </c>
      <c r="E15" s="4" t="inlineStr">
        <is>
          <t>Stability Status</t>
        </is>
      </c>
    </row>
    <row r="16" ht="20" customHeight="1">
      <c r="A16" s="11" t="inlineStr">
        <is>
          <t>Dry Embankment Slope (No Water Table)</t>
        </is>
      </c>
      <c r="B16" s="66" t="inlineStr">
        <is>
          <t>FS = tan(phi')/tan(beta) + c' / (gamma*H*sin(beta)*cos(beta))</t>
        </is>
      </c>
      <c r="C16" s="57">
        <f>TAN(RADIANS(B8))/TAN(RADIANS(B6)) + B7/(B9*B4*SIN(RADIANS(B6))*COS(RADIANS(B6)))</f>
        <v/>
      </c>
      <c r="D16" s="36" t="inlineStr">
        <is>
          <t>&gt;= 1.50</t>
        </is>
      </c>
      <c r="E16" s="29">
        <f>IF(C13&gt;=1.5, "PASS - DRY SLOPE STABLE", "FAIL - FLATTEN SLOPE")</f>
        <v/>
      </c>
    </row>
    <row r="17" ht="20" customHeight="1">
      <c r="A17" s="11" t="inlineStr">
        <is>
          <t>Steady-State Seepage Parallel to Face (Worst-Case)</t>
        </is>
      </c>
      <c r="B17" s="66" t="inlineStr">
        <is>
          <t>FS = (gamma_sub/gamma)*[tan(phi')/tan(beta)] + c'/[gamma*H*sin*cos]</t>
        </is>
      </c>
      <c r="C17" s="57">
        <f>((B9-B10)/B9)*(TAN(RADIANS(B8))/TAN(RADIANS(B6))) + B7/(B9*B4*SIN(RADIANS(B6))*COS(RADIANS(B6)))</f>
        <v/>
      </c>
      <c r="D17" s="36" t="inlineStr">
        <is>
          <t>&gt;= 1.30</t>
        </is>
      </c>
      <c r="E17" s="29">
        <f>IF(C14&gt;=1.3, "PASS - SATURATED SLOPE STABLE", "FAIL - INSTALL TOE DRAIN")</f>
        <v/>
      </c>
    </row>
    <row r="19" ht="24" customHeight="1">
      <c r="A19" s="3" t="inlineStr">
        <is>
          <t>3. BISHOP'S SIMPLIFIED METHOD OF SLICES (ROTATIONAL CIRCULAR FAILURE ARC)</t>
        </is>
      </c>
    </row>
    <row r="20" ht="22" customHeight="1">
      <c r="A20" s="4" t="inlineStr">
        <is>
          <t>Slice #</t>
        </is>
      </c>
      <c r="B20" s="4" t="inlineStr">
        <is>
          <t>Width b (ft)</t>
        </is>
      </c>
      <c r="C20" s="4" t="inlineStr">
        <is>
          <t>Weight W (kips)</t>
        </is>
      </c>
      <c r="D20" s="4" t="inlineStr">
        <is>
          <t>Base Angle alpha (deg)</t>
        </is>
      </c>
      <c r="E20" s="4" t="inlineStr">
        <is>
          <t>Pore Pressure u (ksf)</t>
        </is>
      </c>
      <c r="F20" s="4" t="inlineStr">
        <is>
          <t>Resisting Force Numerator</t>
        </is>
      </c>
      <c r="G20" s="4" t="inlineStr">
        <is>
          <t>Driving Force (W*sin(alpha))</t>
        </is>
      </c>
    </row>
    <row r="21" ht="20" customHeight="1">
      <c r="A21" s="11" t="n">
        <v>1</v>
      </c>
      <c r="B21" s="30" t="n">
        <v>4</v>
      </c>
      <c r="C21" s="20" t="n">
        <v>18.5</v>
      </c>
      <c r="D21" s="30" t="n">
        <v>-12</v>
      </c>
      <c r="E21" s="30" t="n">
        <v>0.2</v>
      </c>
      <c r="F21" s="20">
        <f>(0.350*4.0 + (18.5 - 0.20*4.0)*TAN(RADIANS(28))) / (COS(RADIANS(-12)) + SIN(RADIANS(-12))*TAN(RADIANS(28))/1.5)</f>
        <v/>
      </c>
      <c r="G21" s="20">
        <f>18.5 * SIN(RADIANS(-12))</f>
        <v/>
      </c>
    </row>
    <row r="22" ht="20" customHeight="1">
      <c r="A22" s="11" t="n">
        <v>2</v>
      </c>
      <c r="B22" s="30" t="n">
        <v>5</v>
      </c>
      <c r="C22" s="20" t="n">
        <v>32</v>
      </c>
      <c r="D22" s="30" t="n">
        <v>4</v>
      </c>
      <c r="E22" s="30" t="n">
        <v>0.45</v>
      </c>
      <c r="F22" s="20">
        <f>(0.350*5.0 + (32.0 - 0.45*5.0)*TAN(RADIANS(28))) / (COS(RADIANS(4)) + SIN(RADIANS(4))*TAN(RADIANS(28))/1.5)</f>
        <v/>
      </c>
      <c r="G22" s="20">
        <f>32.0 * SIN(RADIANS(4))</f>
        <v/>
      </c>
    </row>
    <row r="23" ht="20" customHeight="1">
      <c r="A23" s="11" t="n">
        <v>3</v>
      </c>
      <c r="B23" s="30" t="n">
        <v>5</v>
      </c>
      <c r="C23" s="20" t="n">
        <v>42.5</v>
      </c>
      <c r="D23" s="30" t="n">
        <v>18</v>
      </c>
      <c r="E23" s="30" t="n">
        <v>0.65</v>
      </c>
      <c r="F23" s="20">
        <f>(0.350*5.0 + (42.5 - 0.65*5.0)*TAN(RADIANS(28))) / (COS(RADIANS(18)) + SIN(RADIANS(18))*TAN(RADIANS(28))/1.5)</f>
        <v/>
      </c>
      <c r="G23" s="20">
        <f>42.5 * SIN(RADIANS(18))</f>
        <v/>
      </c>
    </row>
    <row r="24" ht="20" customHeight="1">
      <c r="A24" s="11" t="n">
        <v>4</v>
      </c>
      <c r="B24" s="30" t="n">
        <v>5</v>
      </c>
      <c r="C24" s="20" t="n">
        <v>38</v>
      </c>
      <c r="D24" s="30" t="n">
        <v>31</v>
      </c>
      <c r="E24" s="30" t="n">
        <v>0.5</v>
      </c>
      <c r="F24" s="20">
        <f>(0.350*5.0 + (38.0 - 0.50*5.0)*TAN(RADIANS(28))) / (COS(RADIANS(31)) + SIN(RADIANS(31))*TAN(RADIANS(28))/1.5)</f>
        <v/>
      </c>
      <c r="G24" s="20">
        <f>38.0 * SIN(RADIANS(31))</f>
        <v/>
      </c>
    </row>
    <row r="25" ht="20" customHeight="1">
      <c r="A25" s="11" t="n">
        <v>5</v>
      </c>
      <c r="B25" s="30" t="n">
        <v>4</v>
      </c>
      <c r="C25" s="20" t="n">
        <v>24</v>
      </c>
      <c r="D25" s="30" t="n">
        <v>45</v>
      </c>
      <c r="E25" s="30" t="n">
        <v>0.25</v>
      </c>
      <c r="F25" s="20">
        <f>(0.350*4.0 + (24.0 - 0.25*4.0)*TAN(RADIANS(28))) / (COS(RADIANS(45)) + SIN(RADIANS(45))*TAN(RADIANS(28))/1.5)</f>
        <v/>
      </c>
      <c r="G25" s="20">
        <f>24.0 * SIN(RADIANS(45))</f>
        <v/>
      </c>
    </row>
    <row r="26" ht="20" customHeight="1">
      <c r="A26" s="23" t="inlineStr">
        <is>
          <t>TOTALS</t>
        </is>
      </c>
      <c r="B26" s="44" t="inlineStr">
        <is>
          <t>-</t>
        </is>
      </c>
      <c r="C26" s="25">
        <f>SUM(C18:C22)</f>
        <v/>
      </c>
      <c r="D26" s="44" t="inlineStr">
        <is>
          <t>-</t>
        </is>
      </c>
      <c r="E26" s="44" t="inlineStr">
        <is>
          <t>-</t>
        </is>
      </c>
      <c r="F26" s="25">
        <f>SUM(F18:F22)</f>
        <v/>
      </c>
      <c r="G26" s="25">
        <f>SUM(G18:G22)</f>
        <v/>
      </c>
    </row>
    <row r="27" ht="20" customHeight="1">
      <c r="A27" s="11" t="inlineStr">
        <is>
          <t>BISHOP FACTOR OF SAFETY</t>
        </is>
      </c>
      <c r="B27" s="66" t="inlineStr">
        <is>
          <t>FS = Sum(Numerator) / Sum(Driving)</t>
        </is>
      </c>
      <c r="C27" s="57">
        <f>F23 / G23</f>
        <v/>
      </c>
      <c r="D27" s="36" t="inlineStr">
        <is>
          <t>Target &gt;= 1.50</t>
        </is>
      </c>
      <c r="E27" s="29">
        <f>IF((F23/G23)&gt;=1.5, "PASS - GLOBAL ROTATIONAL ARC STABLE", "FAIL - INSTALL REINFORCED GEOGRID")</f>
        <v/>
      </c>
    </row>
  </sheetData>
  <mergeCells count="5">
    <mergeCell ref="A14:G14"/>
    <mergeCell ref="A1:G1"/>
    <mergeCell ref="A4:G4"/>
    <mergeCell ref="A2:G2"/>
    <mergeCell ref="A19:G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35" customWidth="1" min="2" max="2"/>
    <col width="33" customWidth="1" min="3" max="3"/>
    <col width="51" customWidth="1" min="4" max="4"/>
    <col width="74" customWidth="1" min="5" max="5"/>
    <col width="12" customWidth="1" min="6" max="6"/>
    <col width="12" customWidth="1" min="7" max="7"/>
  </cols>
  <sheetData>
    <row r="1" ht="28" customHeight="1">
      <c r="A1" s="1" t="inlineStr">
        <is>
          <t>HYDRAULIC WEIRS &amp; CONCRETE GRAVITY DAM STABILITY ANALYSIS</t>
        </is>
      </c>
    </row>
    <row r="2" ht="18" customHeight="1">
      <c r="A2" s="2" t="inlineStr">
        <is>
          <t>Sharp &amp; Broad-Crested Weirs • Concrete Dam Overturning, Sliding, Uplift Pressure &amp; Exit Gradient (NCEES § 6.3.8)</t>
        </is>
      </c>
    </row>
    <row r="3" ht="10" customHeight="1"/>
    <row r="4" ht="24" customHeight="1">
      <c r="A4" s="3" t="inlineStr">
        <is>
          <t>1. OPEN CHANNEL WEIR DISCHARGE EQUATIONS (NCEES § 6.3.8)</t>
        </is>
      </c>
    </row>
    <row r="5" ht="22" customHeight="1">
      <c r="A5" s="4" t="inlineStr">
        <is>
          <t>Weir Type</t>
        </is>
      </c>
      <c r="B5" s="4" t="inlineStr">
        <is>
          <t>Governing Discharge Equation</t>
        </is>
      </c>
      <c r="C5" s="4" t="inlineStr">
        <is>
          <t>Weir Length L (ft)</t>
        </is>
      </c>
      <c r="D5" s="4" t="inlineStr">
        <is>
          <t>Operating Head H (ft)</t>
        </is>
      </c>
      <c r="E5" s="4" t="inlineStr">
        <is>
          <t>Discharge Q (cfs)</t>
        </is>
      </c>
    </row>
    <row r="6" ht="20" customHeight="1">
      <c r="A6" s="11" t="inlineStr">
        <is>
          <t>Rectangular Suppressed Weir</t>
        </is>
      </c>
      <c r="B6" s="67" t="inlineStr">
        <is>
          <t>Q = 3.33 * L * H^(1.5)</t>
        </is>
      </c>
      <c r="C6" s="20" t="n">
        <v>12</v>
      </c>
      <c r="D6" s="33" t="n">
        <v>1.8</v>
      </c>
      <c r="E6" s="33">
        <f>3.33 * C4 * D4^1.5</f>
        <v/>
      </c>
    </row>
    <row r="7" ht="20" customHeight="1">
      <c r="A7" s="11" t="inlineStr">
        <is>
          <t>90-Degree V-Notch Weir</t>
        </is>
      </c>
      <c r="B7" s="67" t="inlineStr">
        <is>
          <t>Q = 2.50 * H^(2.5)</t>
        </is>
      </c>
      <c r="C7" s="13" t="inlineStr">
        <is>
          <t>-</t>
        </is>
      </c>
      <c r="D7" s="33" t="n">
        <v>1.8</v>
      </c>
      <c r="E7" s="33">
        <f>2.50 * D5^2.5</f>
        <v/>
      </c>
    </row>
    <row r="8" ht="20" customHeight="1">
      <c r="A8" s="11" t="inlineStr">
        <is>
          <t>Cipolletti Trapezoidal Weir</t>
        </is>
      </c>
      <c r="B8" s="67" t="inlineStr">
        <is>
          <t>Q = 3.367 * L * H^(1.5)</t>
        </is>
      </c>
      <c r="C8" s="20" t="n">
        <v>10</v>
      </c>
      <c r="D8" s="33" t="n">
        <v>1.8</v>
      </c>
      <c r="E8" s="33">
        <f>3.367 * C6 * D6^1.5</f>
        <v/>
      </c>
    </row>
    <row r="9" ht="20" customHeight="1">
      <c r="A9" s="11" t="inlineStr">
        <is>
          <t>Broad-Crested Spillway Weir</t>
        </is>
      </c>
      <c r="B9" s="67" t="inlineStr">
        <is>
          <t>Q = Cw * L * H^(1.5) (Cw = 3.10)</t>
        </is>
      </c>
      <c r="C9" s="20" t="n">
        <v>25</v>
      </c>
      <c r="D9" s="33" t="n">
        <v>1.8</v>
      </c>
      <c r="E9" s="33">
        <f>3.10 * C7 * D7^1.5</f>
        <v/>
      </c>
    </row>
    <row r="11" ht="24" customHeight="1">
      <c r="A11" s="3" t="inlineStr">
        <is>
          <t>2. CONCRETE GRAVITY DAM GEOMETRY &amp; LOADING CONDITIONS</t>
        </is>
      </c>
    </row>
    <row r="12" ht="22" customHeight="1">
      <c r="A12" s="4" t="inlineStr">
        <is>
          <t>Dam Structure Parameter</t>
        </is>
      </c>
      <c r="B12" s="4" t="inlineStr">
        <is>
          <t>Design Value</t>
        </is>
      </c>
      <c r="C12" s="4" t="inlineStr">
        <is>
          <t>Units</t>
        </is>
      </c>
      <c r="D12" s="4" t="inlineStr">
        <is>
          <t>Geometric Definition / Loading Assumption</t>
        </is>
      </c>
    </row>
    <row r="13" ht="20" customHeight="1">
      <c r="A13" s="11" t="inlineStr">
        <is>
          <t>Dam Total Height (H_dam)</t>
        </is>
      </c>
      <c r="B13" s="15" t="n">
        <v>40</v>
      </c>
      <c r="C13" s="13" t="inlineStr">
        <is>
          <t>ft</t>
        </is>
      </c>
      <c r="D13" s="16" t="inlineStr">
        <is>
          <t>Total structural height from foundation to crest</t>
        </is>
      </c>
    </row>
    <row r="14" ht="20" customHeight="1">
      <c r="A14" s="11" t="inlineStr">
        <is>
          <t>Crest Top Width (b_top)</t>
        </is>
      </c>
      <c r="B14" s="15" t="n">
        <v>8</v>
      </c>
      <c r="C14" s="13" t="inlineStr">
        <is>
          <t>ft</t>
        </is>
      </c>
      <c r="D14" s="16" t="inlineStr">
        <is>
          <t>Access roadway / spillway crest width</t>
        </is>
      </c>
    </row>
    <row r="15" ht="20" customHeight="1">
      <c r="A15" s="11" t="inlineStr">
        <is>
          <t>Foundation Base Width (B)</t>
        </is>
      </c>
      <c r="B15" s="15" t="n">
        <v>28</v>
      </c>
      <c r="C15" s="13" t="inlineStr">
        <is>
          <t>ft</t>
        </is>
      </c>
      <c r="D15" s="16" t="inlineStr">
        <is>
          <t>Total width of dam contact along bedrock</t>
        </is>
      </c>
    </row>
    <row r="16" ht="20" customHeight="1">
      <c r="A16" s="11" t="inlineStr">
        <is>
          <t>Upstream Water Depth (h_w)</t>
        </is>
      </c>
      <c r="B16" s="15" t="n">
        <v>36</v>
      </c>
      <c r="C16" s="13" t="inlineStr">
        <is>
          <t>ft</t>
        </is>
      </c>
      <c r="D16" s="16" t="inlineStr">
        <is>
          <t>Normal reservoir pool depth behind dam</t>
        </is>
      </c>
    </row>
    <row r="17" ht="20" customHeight="1">
      <c r="A17" s="11" t="inlineStr">
        <is>
          <t>Concrete Unit Weight (gamma_c)</t>
        </is>
      </c>
      <c r="B17" s="15" t="n">
        <v>150</v>
      </c>
      <c r="C17" s="13" t="inlineStr">
        <is>
          <t>pcf</t>
        </is>
      </c>
      <c r="D17" s="16" t="inlineStr">
        <is>
          <t>Mass structural concrete</t>
        </is>
      </c>
    </row>
    <row r="18" ht="20" customHeight="1">
      <c r="A18" s="11" t="inlineStr">
        <is>
          <t>Water Unit Weight (gamma_w)</t>
        </is>
      </c>
      <c r="B18" s="56" t="n">
        <v>62.4</v>
      </c>
      <c r="C18" s="13" t="inlineStr">
        <is>
          <t>pcf</t>
        </is>
      </c>
      <c r="D18" s="16" t="inlineStr">
        <is>
          <t>Freshwater pool unit weight</t>
        </is>
      </c>
    </row>
    <row r="19" ht="20" customHeight="1">
      <c r="A19" s="11" t="inlineStr">
        <is>
          <t>Foundation Friction Angle (phi_base)</t>
        </is>
      </c>
      <c r="B19" s="15" t="n">
        <v>35</v>
      </c>
      <c r="C19" s="13" t="inlineStr">
        <is>
          <t>deg</t>
        </is>
      </c>
      <c r="D19" s="16" t="inlineStr">
        <is>
          <t>Bedrock contact friction angle</t>
        </is>
      </c>
    </row>
    <row r="21" ht="24" customHeight="1">
      <c r="A21" s="3" t="inlineStr">
        <is>
          <t>3. OVERTURNING FORCES &amp; STABILIZING RESISTANCE ABOUT TOE</t>
        </is>
      </c>
    </row>
    <row r="22" ht="22" customHeight="1">
      <c r="A22" s="4" t="inlineStr">
        <is>
          <t>Force / Component</t>
        </is>
      </c>
      <c r="B22" s="4" t="inlineStr">
        <is>
          <t>Horizontal Force (lbs)</t>
        </is>
      </c>
      <c r="C22" s="4" t="inlineStr">
        <is>
          <t>Vertical Weight (lbs)</t>
        </is>
      </c>
      <c r="D22" s="4" t="inlineStr">
        <is>
          <t>Moment Arm about Toe (ft)</t>
        </is>
      </c>
      <c r="E22" s="4" t="inlineStr">
        <is>
          <t>Moment about Toe (ft-lbs)</t>
        </is>
      </c>
    </row>
    <row r="23" ht="20" customHeight="1">
      <c r="A23" s="11" t="inlineStr">
        <is>
          <t>Upstream Hydrostatic Thrust (F_h)</t>
        </is>
      </c>
      <c r="B23" s="22">
        <f>0.5 * B15 * B13^2</f>
        <v/>
      </c>
      <c r="C23" s="20" t="n">
        <v>0</v>
      </c>
      <c r="D23" s="22">
        <f>B13 / 3</f>
        <v/>
      </c>
      <c r="E23" s="22">
        <f>B18 * D18</f>
        <v/>
      </c>
    </row>
    <row r="24" ht="20" customHeight="1">
      <c r="A24" s="11" t="inlineStr">
        <is>
          <t>Uplift Pressure Prism (U)</t>
        </is>
      </c>
      <c r="B24" s="22" t="n">
        <v>0</v>
      </c>
      <c r="C24" s="20">
        <f>-0.5 * B15 * B13 * B12</f>
        <v/>
      </c>
      <c r="D24" s="22">
        <f>B12 * (2/3)</f>
        <v/>
      </c>
      <c r="E24" s="22">
        <f>C19 * D19</f>
        <v/>
      </c>
    </row>
    <row r="25" ht="20" customHeight="1">
      <c r="A25" s="11" t="inlineStr">
        <is>
          <t>W1: Crest Block (Rectangular)</t>
        </is>
      </c>
      <c r="B25" s="22" t="n">
        <v>0</v>
      </c>
      <c r="C25" s="20">
        <f>B11 * B10 * B14</f>
        <v/>
      </c>
      <c r="D25" s="22">
        <f>B12 - B11/2</f>
        <v/>
      </c>
      <c r="E25" s="22">
        <f>C20 * D20</f>
        <v/>
      </c>
    </row>
    <row r="26" ht="20" customHeight="1">
      <c r="A26" s="11" t="inlineStr">
        <is>
          <t>W2: Downstream Batter (Triangular)</t>
        </is>
      </c>
      <c r="B26" s="22" t="n">
        <v>0</v>
      </c>
      <c r="C26" s="20">
        <f>0.5 * (B12 - B11) * B10 * B14</f>
        <v/>
      </c>
      <c r="D26" s="22">
        <f>(2/3) * (B12 - B11)</f>
        <v/>
      </c>
      <c r="E26" s="22">
        <f>C21 * D21</f>
        <v/>
      </c>
    </row>
    <row r="27" ht="20" customHeight="1">
      <c r="A27" s="23" t="inlineStr">
        <is>
          <t>TOTAL OVERTURNING / RESISTING</t>
        </is>
      </c>
      <c r="B27" s="26">
        <f>B18</f>
        <v/>
      </c>
      <c r="C27" s="25">
        <f>C20 + C21 + C19</f>
        <v/>
      </c>
      <c r="D27" s="24" t="inlineStr">
        <is>
          <t>-</t>
        </is>
      </c>
      <c r="E27" s="26">
        <f>E20 + E21</f>
        <v/>
      </c>
    </row>
    <row r="29" ht="24" customHeight="1">
      <c r="A29" s="3" t="inlineStr">
        <is>
          <t>4. DAM STABILITY FACTORS OF SAFETY &amp; FOUNDATION CHECKS</t>
        </is>
      </c>
    </row>
    <row r="30" ht="22" customHeight="1">
      <c r="A30" s="4" t="inlineStr">
        <is>
          <t>Stability Safety Check</t>
        </is>
      </c>
      <c r="B30" s="4" t="inlineStr">
        <is>
          <t>Calculated Value</t>
        </is>
      </c>
      <c r="C30" s="4" t="inlineStr">
        <is>
          <t>Allowable Minimum</t>
        </is>
      </c>
      <c r="D30" s="4" t="inlineStr">
        <is>
          <t>Safety Factor / Margin</t>
        </is>
      </c>
      <c r="E30" s="4" t="inlineStr">
        <is>
          <t>Dam Code Compliance Status</t>
        </is>
      </c>
    </row>
    <row r="31" ht="20" customHeight="1">
      <c r="A31" s="11" t="inlineStr">
        <is>
          <t>Overturning Factor of Safety (FS_ot)</t>
        </is>
      </c>
      <c r="B31" s="27">
        <f>E22 / (E18 - E19)</f>
        <v/>
      </c>
      <c r="C31" s="28" t="inlineStr">
        <is>
          <t>&gt;= 2.00</t>
        </is>
      </c>
      <c r="D31" s="29">
        <f>E22 / (E18 - E19)</f>
        <v/>
      </c>
      <c r="E31" s="29">
        <f>IF(B24&gt;=2.0, "PASS - OVERTURNING SAFE", "FAIL - OVERTURNING RISK")</f>
        <v/>
      </c>
    </row>
    <row r="32" ht="20" customHeight="1">
      <c r="A32" s="11" t="inlineStr">
        <is>
          <t>Sliding Factor of Safety (FS_sl)</t>
        </is>
      </c>
      <c r="B32" s="27">
        <f>(C22 * TAN(RADIANS(B16))) / B18</f>
        <v/>
      </c>
      <c r="C32" s="28" t="inlineStr">
        <is>
          <t>&gt;= 1.50</t>
        </is>
      </c>
      <c r="D32" s="29">
        <f>(C22 * TAN(RADIANS(B16))) / B18</f>
        <v/>
      </c>
      <c r="E32" s="29">
        <f>IF(B25&gt;=1.5, "PASS - SLIDING SAFE", "FAIL - INSTALL KEYWAY")</f>
        <v/>
      </c>
    </row>
    <row r="33" ht="20" customHeight="1">
      <c r="A33" s="11" t="inlineStr">
        <is>
          <t>Foundation Resultant Location (x_bar)</t>
        </is>
      </c>
      <c r="B33" s="30">
        <f>(E22 - E18 + E19) / C22</f>
        <v/>
      </c>
      <c r="C33" s="13" t="inlineStr">
        <is>
          <t>ft from toe</t>
        </is>
      </c>
      <c r="D33" s="14" t="inlineStr">
        <is>
          <t>x_bar = M_net / W_net</t>
        </is>
      </c>
      <c r="E33" s="14" t="inlineStr">
        <is>
          <t>Toe contact zone</t>
        </is>
      </c>
    </row>
    <row r="34" ht="20" customHeight="1">
      <c r="A34" s="11" t="inlineStr">
        <is>
          <t>Middle-Third Eccentricity Check (e &lt;= B/6)</t>
        </is>
      </c>
      <c r="B34" s="27">
        <f>ABS(B12/2 - B26)</f>
        <v/>
      </c>
      <c r="C34" s="28" t="inlineStr">
        <is>
          <t>&lt;= 4.67 ft</t>
        </is>
      </c>
      <c r="D34" s="29">
        <f>B12/6</f>
        <v/>
      </c>
      <c r="E34" s="29">
        <f>IF(B27&lt;=(B12/6), "PASS - NO TENSION CRACKING", "FAIL - BASE TENSION!")</f>
        <v/>
      </c>
    </row>
  </sheetData>
  <mergeCells count="6">
    <mergeCell ref="A1:G1"/>
    <mergeCell ref="A21:G21"/>
    <mergeCell ref="A4:G4"/>
    <mergeCell ref="A2:G2"/>
    <mergeCell ref="A29:G29"/>
    <mergeCell ref="A11:G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27" customWidth="1" min="3" max="3"/>
    <col width="53" customWidth="1" min="4" max="4"/>
    <col width="90" customWidth="1" min="5" max="5"/>
    <col width="12" customWidth="1" min="6" max="6"/>
    <col width="12" customWidth="1" min="7" max="7"/>
  </cols>
  <sheetData>
    <row r="1" ht="28" customHeight="1">
      <c r="A1" s="1" t="inlineStr">
        <is>
          <t>50×50 FT RESIDENTIAL SLAB LOAD DISTRIBUTION &amp; HELICAL PILE LAB</t>
        </is>
      </c>
    </row>
    <row r="2" ht="18" customHeight="1">
      <c r="A2" s="2" t="inlineStr">
        <is>
          <t>Gravity Dead &amp; Live Load Resolution • Helical Pile Torque Correlation Q_ult = Kt*T • Factor of Safety Matrix</t>
        </is>
      </c>
    </row>
    <row r="3" ht="10" customHeight="1"/>
    <row r="4" ht="24" customHeight="1">
      <c r="A4" s="3" t="inlineStr">
        <is>
          <t>1. 50×50 RESIDENTIAL BUILDING GRAVITY LOADS</t>
        </is>
      </c>
    </row>
    <row r="5" ht="22" customHeight="1">
      <c r="A5" s="4" t="inlineStr">
        <is>
          <t>Building Loading Component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Code Loading Standard / Derivation</t>
        </is>
      </c>
    </row>
    <row r="6" ht="20" customHeight="1">
      <c r="A6" s="11" t="inlineStr">
        <is>
          <t>Building Footprint Dimension (L)</t>
        </is>
      </c>
      <c r="B6" s="15" t="n">
        <v>50</v>
      </c>
      <c r="C6" s="13" t="inlineStr">
        <is>
          <t>ft</t>
        </is>
      </c>
      <c r="D6" s="16" t="inlineStr">
        <is>
          <t>Square residential floor plan length</t>
        </is>
      </c>
    </row>
    <row r="7" ht="20" customHeight="1">
      <c r="A7" s="11" t="inlineStr">
        <is>
          <t>Building Footprint Dimension (W)</t>
        </is>
      </c>
      <c r="B7" s="15" t="n">
        <v>50</v>
      </c>
      <c r="C7" s="13" t="inlineStr">
        <is>
          <t>ft</t>
        </is>
      </c>
      <c r="D7" s="16" t="inlineStr">
        <is>
          <t>Square residential floor plan width</t>
        </is>
      </c>
    </row>
    <row r="8" ht="20" customHeight="1">
      <c r="A8" s="11" t="inlineStr">
        <is>
          <t>Total Foundation Footprint Area</t>
        </is>
      </c>
      <c r="B8" s="22">
        <f>B6 * B7</f>
        <v/>
      </c>
      <c r="C8" s="13" t="inlineStr">
        <is>
          <t>sq ft</t>
        </is>
      </c>
      <c r="D8" s="18" t="inlineStr">
        <is>
          <t>Area = L * W = 2,500 sq ft</t>
        </is>
      </c>
    </row>
    <row r="9" ht="20" customHeight="1">
      <c r="A9" s="11" t="inlineStr">
        <is>
          <t>Superimposed Dead Load (Slab + Walls + Roof)</t>
        </is>
      </c>
      <c r="B9" s="15" t="n">
        <v>65</v>
      </c>
      <c r="C9" s="13" t="inlineStr">
        <is>
          <t>psf</t>
        </is>
      </c>
      <c r="D9" s="16" t="inlineStr">
        <is>
          <t>Uniform structural dead load</t>
        </is>
      </c>
    </row>
    <row r="10" ht="20" customHeight="1">
      <c r="A10" s="11" t="inlineStr">
        <is>
          <t>Residential Occupancy Live Load</t>
        </is>
      </c>
      <c r="B10" s="15" t="n">
        <v>40</v>
      </c>
      <c r="C10" s="13" t="inlineStr">
        <is>
          <t>psf</t>
        </is>
      </c>
      <c r="D10" s="16" t="inlineStr">
        <is>
          <t>IBC Table 1607.1 residential live load</t>
        </is>
      </c>
    </row>
    <row r="11" ht="20" customHeight="1">
      <c r="A11" s="11" t="inlineStr">
        <is>
          <t>Roof Snow / Environmental Load</t>
        </is>
      </c>
      <c r="B11" s="15" t="n">
        <v>30</v>
      </c>
      <c r="C11" s="13" t="inlineStr">
        <is>
          <t>psf</t>
        </is>
      </c>
      <c r="D11" s="16" t="inlineStr">
        <is>
          <t>Regional roof snow / wind downward load</t>
        </is>
      </c>
    </row>
    <row r="12" ht="20" customHeight="1">
      <c r="A12" s="23" t="inlineStr">
        <is>
          <t>Total Factored Gravity Building Load</t>
        </is>
      </c>
      <c r="B12" s="26">
        <f>(B7 + B8 + B9) * B6 / 1000</f>
        <v/>
      </c>
      <c r="C12" s="54" t="inlineStr">
        <is>
          <t>kips</t>
        </is>
      </c>
      <c r="D12" s="24" t="inlineStr">
        <is>
          <t>Total gravity load = (DL + LL + Snow) * Area</t>
        </is>
      </c>
    </row>
    <row r="13" ht="20" customHeight="1">
      <c r="A13" s="11" t="inlineStr">
        <is>
          <t>Total Gravity Building Load in Tons</t>
        </is>
      </c>
      <c r="B13" s="22">
        <f>B10 / 2.0</f>
        <v/>
      </c>
      <c r="C13" s="13" t="inlineStr">
        <is>
          <t>tons</t>
        </is>
      </c>
      <c r="D13" s="18" t="inlineStr">
        <is>
          <t>1 ton = 2.0 kips</t>
        </is>
      </c>
    </row>
    <row r="14"/>
    <row r="15" ht="24" customHeight="1">
      <c r="A15" s="3" t="inlineStr">
        <is>
          <t>2. HELICAL PILE SYSTEM &amp; TORQUE-CAPACITY CORRELATION</t>
        </is>
      </c>
    </row>
    <row r="16" ht="22" customHeight="1">
      <c r="A16" s="4" t="inlineStr">
        <is>
          <t>Helical Pile Parameter</t>
        </is>
      </c>
      <c r="B16" s="4" t="inlineStr">
        <is>
          <t>Design Value</t>
        </is>
      </c>
      <c r="C16" s="4" t="inlineStr">
        <is>
          <t>Units</t>
        </is>
      </c>
      <c r="D16" s="4" t="inlineStr">
        <is>
          <t>ICC-ES AC358 Standard Formula</t>
        </is>
      </c>
    </row>
    <row r="17" ht="20" customHeight="1">
      <c r="A17" s="11" t="inlineStr">
        <is>
          <t>Shaft Steel Outer Diameter (OD)</t>
        </is>
      </c>
      <c r="B17" s="50" t="n">
        <v>2.875</v>
      </c>
      <c r="C17" s="13" t="inlineStr">
        <is>
          <t>inches</t>
        </is>
      </c>
      <c r="D17" s="38" t="inlineStr">
        <is>
          <t>High-strength round pipe shaft (Yield = 65 ksi)</t>
        </is>
      </c>
    </row>
    <row r="18" ht="20" customHeight="1">
      <c r="A18" s="11" t="inlineStr">
        <is>
          <t>Multi-Helix Plate Configuration</t>
        </is>
      </c>
      <c r="B18" s="65" t="inlineStr">
        <is>
          <t>10"-12"-14"</t>
        </is>
      </c>
      <c r="C18" s="13" t="inlineStr">
        <is>
          <t>-</t>
        </is>
      </c>
      <c r="D18" s="13" t="inlineStr">
        <is>
          <t>Triple helix lead section for dense bearing strata</t>
        </is>
      </c>
    </row>
    <row r="19" ht="20" customHeight="1">
      <c r="A19" s="11" t="inlineStr">
        <is>
          <t>Empirical Torque Correlation Factor (Kt)</t>
        </is>
      </c>
      <c r="B19" s="15" t="n">
        <v>10</v>
      </c>
      <c r="C19" s="13" t="inlineStr">
        <is>
          <t>ft⁻¹</t>
        </is>
      </c>
      <c r="D19" s="16" t="inlineStr">
        <is>
          <t>Default ICC-ES AC358 factor for 2-7/8" round shaft</t>
        </is>
      </c>
    </row>
    <row r="20" ht="20" customHeight="1">
      <c r="A20" s="11" t="inlineStr">
        <is>
          <t>Final Measured Installation Torque (T)</t>
        </is>
      </c>
      <c r="B20" s="17" t="n">
        <v>4500</v>
      </c>
      <c r="C20" s="13" t="inlineStr">
        <is>
          <t>ft-lbs</t>
        </is>
      </c>
      <c r="D20" s="18" t="inlineStr">
        <is>
          <t>Hydraulic drive head torque pressure measurement</t>
        </is>
      </c>
    </row>
    <row r="21" ht="20" customHeight="1">
      <c r="A21" s="11" t="inlineStr">
        <is>
          <t>Ultimate Pile Geotechnical Capacity (Q_ult)</t>
        </is>
      </c>
      <c r="B21" s="30">
        <f>(B15 * B16) / 1000</f>
        <v/>
      </c>
      <c r="C21" s="13" t="inlineStr">
        <is>
          <t>kips</t>
        </is>
      </c>
      <c r="D21" s="14" t="inlineStr">
        <is>
          <t>Q_ult = Kt * T (kips)</t>
        </is>
      </c>
    </row>
    <row r="22" ht="20" customHeight="1">
      <c r="A22" s="11" t="inlineStr">
        <is>
          <t>Allowable Pile Geotechnical Capacity (Q_all)</t>
        </is>
      </c>
      <c r="B22" s="30">
        <f>B17 / 2.0</f>
        <v/>
      </c>
      <c r="C22" s="13" t="inlineStr">
        <is>
          <t>kips</t>
        </is>
      </c>
      <c r="D22" s="14" t="inlineStr">
        <is>
          <t>Safety Factor FS = 2.0 (Q_all = Q_ult / 2.0)</t>
        </is>
      </c>
    </row>
    <row r="23" ht="20" customHeight="1">
      <c r="A23" s="11" t="inlineStr">
        <is>
          <t>Allowable Capacity in Tons per Pile</t>
        </is>
      </c>
      <c r="B23" s="30">
        <f>B18 / 2.0</f>
        <v/>
      </c>
      <c r="C23" s="13" t="inlineStr">
        <is>
          <t>tons</t>
        </is>
      </c>
      <c r="D23" s="14" t="inlineStr">
        <is>
          <t>1 ton = 2.0 kips</t>
        </is>
      </c>
    </row>
    <row r="24"/>
    <row r="25" ht="24" customHeight="1">
      <c r="A25" s="3" t="inlineStr">
        <is>
          <t>3. PILE LAYOUT, LOAD SHARING &amp; GLOBAL SAFETY FACTOR</t>
        </is>
      </c>
    </row>
    <row r="26" ht="22" customHeight="1">
      <c r="A26" s="4" t="inlineStr">
        <is>
          <t>Pile Location Group</t>
        </is>
      </c>
      <c r="B26" s="4" t="inlineStr">
        <is>
          <t>Number of Piles</t>
        </is>
      </c>
      <c r="C26" s="4" t="inlineStr">
        <is>
          <t>Capacity per Pile (kips)</t>
        </is>
      </c>
      <c r="D26" s="4" t="inlineStr">
        <is>
          <t>Group Ultimate Capacity (kips)</t>
        </is>
      </c>
      <c r="E26" s="4" t="inlineStr">
        <is>
          <t>Group Allowable Capacity (kips)</t>
        </is>
      </c>
    </row>
    <row r="27" ht="20" customHeight="1">
      <c r="A27" s="11" t="inlineStr">
        <is>
          <t>Corner Helical Piles</t>
        </is>
      </c>
      <c r="B27" s="22" t="n">
        <v>4</v>
      </c>
      <c r="C27" s="20">
        <f>B18</f>
        <v/>
      </c>
      <c r="D27" s="22">
        <f>4 * B17</f>
        <v/>
      </c>
      <c r="E27" s="22">
        <f>4 * B18</f>
        <v/>
      </c>
    </row>
    <row r="28" ht="20" customHeight="1">
      <c r="A28" s="11" t="inlineStr">
        <is>
          <t>Perimeter Foundation Wall Piles</t>
        </is>
      </c>
      <c r="B28" s="22" t="n">
        <v>8</v>
      </c>
      <c r="C28" s="20">
        <f>B18</f>
        <v/>
      </c>
      <c r="D28" s="22">
        <f>8 * B17</f>
        <v/>
      </c>
      <c r="E28" s="22">
        <f>8 * B18</f>
        <v/>
      </c>
    </row>
    <row r="29" ht="20" customHeight="1">
      <c r="A29" s="11" t="inlineStr">
        <is>
          <t>Interior Girder Column Piles</t>
        </is>
      </c>
      <c r="B29" s="22" t="n">
        <v>4</v>
      </c>
      <c r="C29" s="20">
        <f>B18</f>
        <v/>
      </c>
      <c r="D29" s="22">
        <f>4 * B17</f>
        <v/>
      </c>
      <c r="E29" s="22">
        <f>4 * B18</f>
        <v/>
      </c>
    </row>
    <row r="30" ht="20" customHeight="1">
      <c r="A30" s="23" t="inlineStr">
        <is>
          <t>TOTAL PILE FOUNDATION SYSTEM</t>
        </is>
      </c>
      <c r="B30" s="26">
        <f>SUM(B22:B24)</f>
        <v/>
      </c>
      <c r="C30" s="54" t="inlineStr">
        <is>
          <t>-</t>
        </is>
      </c>
      <c r="D30" s="26">
        <f>SUM(D22:D24)</f>
        <v/>
      </c>
      <c r="E30" s="26">
        <f>SUM(E22:E24)</f>
        <v/>
      </c>
    </row>
    <row r="31" ht="20" customHeight="1">
      <c r="A31" s="11" t="inlineStr">
        <is>
          <t>GLOBAL FOUNDATION SAFETY FACTOR</t>
        </is>
      </c>
      <c r="B31" s="66" t="inlineStr">
        <is>
          <t>FS = Total Q_ult / Total Load</t>
        </is>
      </c>
      <c r="C31" s="57">
        <f>D25 / B10</f>
        <v/>
      </c>
      <c r="D31" s="36" t="inlineStr">
        <is>
          <t>Target &gt;= 2.00</t>
        </is>
      </c>
      <c r="E31" s="29">
        <f>IF((D25/B10)&gt;=2.0, "PASS - 50x50 FOUNDATION SYSTEM ADEQUATE", "FAIL - ADD MORE PILES")</f>
        <v/>
      </c>
    </row>
  </sheetData>
  <mergeCells count="5">
    <mergeCell ref="A1:G1"/>
    <mergeCell ref="A4:G4"/>
    <mergeCell ref="A2:G2"/>
    <mergeCell ref="A15:G15"/>
    <mergeCell ref="A25:G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52" customWidth="1" min="2" max="2"/>
    <col width="15" customWidth="1" min="3" max="3"/>
    <col width="51" customWidth="1" min="4" max="4"/>
    <col width="129" customWidth="1" min="5" max="5"/>
    <col width="12" customWidth="1" min="6" max="6"/>
    <col width="12" customWidth="1" min="7" max="7"/>
  </cols>
  <sheetData>
    <row r="1" ht="28" customHeight="1">
      <c r="A1" s="1" t="inlineStr">
        <is>
          <t>NET POSITIVE SUCTION HEAD (NPSH) &amp; PUMP CAVITATION SIMULATOR</t>
        </is>
      </c>
    </row>
    <row r="2" ht="18" customHeight="1">
      <c r="A2" s="2" t="inlineStr">
        <is>
          <t>Atmospheric vs. Altitude • Water Vapor Pressure • Hazen-Williams Friction &amp; NCEES Lift Hs (NCEES § 6.3.8.6)</t>
        </is>
      </c>
    </row>
    <row r="3" ht="10" customHeight="1"/>
    <row r="4" ht="24" customHeight="1">
      <c r="A4" s="3" t="inlineStr">
        <is>
          <t>1. ATMOSPHERIC, TEMPERATURE &amp; FLUID PROPERTIES</t>
        </is>
      </c>
    </row>
    <row r="5" ht="22" customHeight="1">
      <c r="A5" s="4" t="inlineStr">
        <is>
          <t>Environmental Parameter</t>
        </is>
      </c>
      <c r="B5" s="4" t="inlineStr">
        <is>
          <t>Design Value</t>
        </is>
      </c>
      <c r="C5" s="4" t="inlineStr">
        <is>
          <t>Units</t>
        </is>
      </c>
      <c r="D5" s="4" t="inlineStr">
        <is>
          <t>Governing Physics Formula / Source</t>
        </is>
      </c>
    </row>
    <row r="6" ht="20" customHeight="1">
      <c r="A6" s="11" t="inlineStr">
        <is>
          <t>Site Installation Altitude (Z)</t>
        </is>
      </c>
      <c r="B6" s="17" t="n">
        <v>5280</v>
      </c>
      <c r="C6" s="13" t="inlineStr">
        <is>
          <t>ft</t>
        </is>
      </c>
      <c r="D6" s="18" t="inlineStr">
        <is>
          <t>Elevation above mean sea level (e.g. Denver, CO)</t>
        </is>
      </c>
    </row>
    <row r="7" ht="20" customHeight="1">
      <c r="A7" s="11" t="inlineStr">
        <is>
          <t>Barometric Atmospheric Pressure (Pa)</t>
        </is>
      </c>
      <c r="B7" s="37">
        <f>14.696 * (1 - 6.875e-6 * B4)^5.2559</f>
        <v/>
      </c>
      <c r="C7" s="13" t="inlineStr">
        <is>
          <t>psia</t>
        </is>
      </c>
      <c r="D7" s="38" t="inlineStr">
        <is>
          <t>Pa = 14.696 * (1 - 6.875e-6 * Z)^5.2559</t>
        </is>
      </c>
    </row>
    <row r="8" ht="20" customHeight="1">
      <c r="A8" s="11" t="inlineStr">
        <is>
          <t>Water Temperature (T)</t>
        </is>
      </c>
      <c r="B8" s="15" t="n">
        <v>68</v>
      </c>
      <c r="C8" s="13" t="inlineStr">
        <is>
          <t>deg F</t>
        </is>
      </c>
      <c r="D8" s="16" t="inlineStr">
        <is>
          <t>Operating fluid temperature</t>
        </is>
      </c>
    </row>
    <row r="9" ht="20" customHeight="1">
      <c r="A9" s="11" t="inlineStr">
        <is>
          <t>Fluid Specific Weight (gamma)</t>
        </is>
      </c>
      <c r="B9" s="30" t="n">
        <v>62.4</v>
      </c>
      <c r="C9" s="13" t="inlineStr">
        <is>
          <t>pcf</t>
        </is>
      </c>
      <c r="D9" s="14" t="inlineStr">
        <is>
          <t>Clear water density</t>
        </is>
      </c>
    </row>
    <row r="10" ht="20" customHeight="1">
      <c r="A10" s="11" t="inlineStr">
        <is>
          <t>Atmospheric Pressure Head (H_pa)</t>
        </is>
      </c>
      <c r="B10" s="30">
        <f>(B5 * 144) / B7</f>
        <v/>
      </c>
      <c r="C10" s="13" t="inlineStr">
        <is>
          <t>ft of liquid</t>
        </is>
      </c>
      <c r="D10" s="14" t="inlineStr">
        <is>
          <t>H_pa = (Pa * 144) / gamma</t>
        </is>
      </c>
    </row>
    <row r="11" ht="20" customHeight="1">
      <c r="A11" s="11" t="inlineStr">
        <is>
          <t>Water Vapor Pressure (P_vp)</t>
        </is>
      </c>
      <c r="B11" s="50" t="n">
        <v>0.339</v>
      </c>
      <c r="C11" s="13" t="inlineStr">
        <is>
          <t>psia</t>
        </is>
      </c>
      <c r="D11" s="38" t="inlineStr">
        <is>
          <t>From steam tables at 68°F</t>
        </is>
      </c>
    </row>
    <row r="12" ht="20" customHeight="1">
      <c r="A12" s="11" t="inlineStr">
        <is>
          <t>Vapor Pressure Head (H_vp)</t>
        </is>
      </c>
      <c r="B12" s="30">
        <f>(B9 * 144) / B7</f>
        <v/>
      </c>
      <c r="C12" s="13" t="inlineStr">
        <is>
          <t>ft of liquid</t>
        </is>
      </c>
      <c r="D12" s="14" t="inlineStr">
        <is>
          <t>H_vp = (P_vp * 144) / gamma</t>
        </is>
      </c>
    </row>
    <row r="14" ht="24" customHeight="1">
      <c r="A14" s="3" t="inlineStr">
        <is>
          <t>2. SUCTION PIPING HYDRAULICS &amp; HEAD LOSSES (sum h_L)</t>
        </is>
      </c>
    </row>
    <row r="15" ht="22" customHeight="1">
      <c r="A15" s="4" t="inlineStr">
        <is>
          <t>Piping Parameter</t>
        </is>
      </c>
      <c r="B15" s="4" t="inlineStr">
        <is>
          <t>Design Value</t>
        </is>
      </c>
      <c r="C15" s="4" t="inlineStr">
        <is>
          <t>Units</t>
        </is>
      </c>
      <c r="D15" s="4" t="inlineStr">
        <is>
          <t>Hydraulic Formulation</t>
        </is>
      </c>
    </row>
    <row r="16" ht="20" customHeight="1">
      <c r="A16" s="11" t="inlineStr">
        <is>
          <t>Pump Operating Flow Rate (Q)</t>
        </is>
      </c>
      <c r="B16" s="17" t="n">
        <v>450</v>
      </c>
      <c r="C16" s="13" t="inlineStr">
        <is>
          <t>gpm</t>
        </is>
      </c>
      <c r="D16" s="18" t="inlineStr">
        <is>
          <t>Pump design flow rate</t>
        </is>
      </c>
    </row>
    <row r="17" ht="20" customHeight="1">
      <c r="A17" s="11" t="inlineStr">
        <is>
          <t>Flow Rate in Cubic Feet per Second</t>
        </is>
      </c>
      <c r="B17" s="37">
        <f>B13 / 448.83</f>
        <v/>
      </c>
      <c r="C17" s="13" t="inlineStr">
        <is>
          <t>cfs</t>
        </is>
      </c>
      <c r="D17" s="38" t="inlineStr">
        <is>
          <t>1 cfs = 448.83 gpm</t>
        </is>
      </c>
    </row>
    <row r="18" ht="20" customHeight="1">
      <c r="A18" s="11" t="inlineStr">
        <is>
          <t>Suction Pipe Inside Diameter (D)</t>
        </is>
      </c>
      <c r="B18" s="12" t="n">
        <v>6</v>
      </c>
      <c r="C18" s="13" t="inlineStr">
        <is>
          <t>inches</t>
        </is>
      </c>
      <c r="D18" s="14" t="inlineStr">
        <is>
          <t>Suction nozzle diameter</t>
        </is>
      </c>
    </row>
    <row r="19" ht="20" customHeight="1">
      <c r="A19" s="11" t="inlineStr">
        <is>
          <t>Suction Pipe Total Length (L)</t>
        </is>
      </c>
      <c r="B19" s="15" t="n">
        <v>35</v>
      </c>
      <c r="C19" s="13" t="inlineStr">
        <is>
          <t>ft</t>
        </is>
      </c>
      <c r="D19" s="16" t="inlineStr">
        <is>
          <t>Total straight length of suction line</t>
        </is>
      </c>
    </row>
    <row r="20" ht="20" customHeight="1">
      <c r="A20" s="11" t="inlineStr">
        <is>
          <t>Hazen-Williams Roughness (C)</t>
        </is>
      </c>
      <c r="B20" s="15" t="n">
        <v>130</v>
      </c>
      <c r="C20" s="13" t="inlineStr">
        <is>
          <t>-</t>
        </is>
      </c>
      <c r="D20" s="16" t="inlineStr">
        <is>
          <t>Smooth C900 PVC suction pipe</t>
        </is>
      </c>
    </row>
    <row r="21" ht="20" customHeight="1">
      <c r="A21" s="11" t="inlineStr">
        <is>
          <t>Static Elevation Difference (zs)</t>
        </is>
      </c>
      <c r="B21" s="12" t="n">
        <v>-8.5</v>
      </c>
      <c r="C21" s="13" t="inlineStr">
        <is>
          <t>ft</t>
        </is>
      </c>
      <c r="D21" s="14" t="inlineStr">
        <is>
          <t>Negative indicates suction lift below pump</t>
        </is>
      </c>
    </row>
    <row r="22" ht="20" customHeight="1">
      <c r="A22" s="11" t="inlineStr">
        <is>
          <t>Suction Flow Velocity (V)</t>
        </is>
      </c>
      <c r="B22" s="30">
        <f>B14 / ((PI()/4)*(B15/12)^2)</f>
        <v/>
      </c>
      <c r="C22" s="13" t="inlineStr">
        <is>
          <t>fps</t>
        </is>
      </c>
      <c r="D22" s="14" t="inlineStr">
        <is>
          <t>V = Q / A</t>
        </is>
      </c>
    </row>
    <row r="23" ht="20" customHeight="1">
      <c r="A23" s="11" t="inlineStr">
        <is>
          <t>Velocity Head (V² / 2g)</t>
        </is>
      </c>
      <c r="B23" s="37">
        <f>B19^2 / (2 * 32.174)</f>
        <v/>
      </c>
      <c r="C23" s="13" t="inlineStr">
        <is>
          <t>ft</t>
        </is>
      </c>
      <c r="D23" s="38" t="inlineStr">
        <is>
          <t>hv = V² / 2g</t>
        </is>
      </c>
    </row>
    <row r="24" ht="20" customHeight="1">
      <c r="A24" s="11" t="inlineStr">
        <is>
          <t>Suction Pipe Friction Loss (h_f)</t>
        </is>
      </c>
      <c r="B24" s="30">
        <f>10.44 * B16 * B13^1.852 / (B17^1.852 * B15^4.87)</f>
        <v/>
      </c>
      <c r="C24" s="13" t="inlineStr">
        <is>
          <t>ft</t>
        </is>
      </c>
      <c r="D24" s="14" t="inlineStr">
        <is>
          <t>Hazen-Williams friction loss</t>
        </is>
      </c>
    </row>
    <row r="25" ht="20" customHeight="1">
      <c r="A25" s="11" t="inlineStr">
        <is>
          <t>Minor Loss Coefficient (sum K)</t>
        </is>
      </c>
      <c r="B25" s="12" t="n">
        <v>2.5</v>
      </c>
      <c r="C25" s="13" t="inlineStr">
        <is>
          <t>-</t>
        </is>
      </c>
      <c r="D25" s="14" t="inlineStr">
        <is>
          <t>Foot valve with strainer + 90 deg elbow</t>
        </is>
      </c>
    </row>
    <row r="26" ht="20" customHeight="1">
      <c r="A26" s="11" t="inlineStr">
        <is>
          <t>Minor Losses Head (h_m)</t>
        </is>
      </c>
      <c r="B26" s="30">
        <f>B22 * B20</f>
        <v/>
      </c>
      <c r="C26" s="13" t="inlineStr">
        <is>
          <t>ft</t>
        </is>
      </c>
      <c r="D26" s="14" t="inlineStr">
        <is>
          <t>h_m = K * (V² / 2g)</t>
        </is>
      </c>
    </row>
    <row r="27" ht="20" customHeight="1">
      <c r="A27" s="23" t="inlineStr">
        <is>
          <t>TOTAL SUCTION HEAD LOSS (sum h_L)</t>
        </is>
      </c>
      <c r="B27" s="45">
        <f>B21 + B23</f>
        <v/>
      </c>
      <c r="C27" s="54" t="inlineStr">
        <is>
          <t>ft</t>
        </is>
      </c>
      <c r="D27" s="44" t="inlineStr">
        <is>
          <t>sum h_L = h_friction + h_minor</t>
        </is>
      </c>
    </row>
    <row r="29" ht="24" customHeight="1">
      <c r="A29" s="3" t="inlineStr">
        <is>
          <t>3. NET POSITIVE SUCTION HEAD &amp; CAVITATION VERIFICATION</t>
        </is>
      </c>
    </row>
    <row r="30" ht="22" customHeight="1">
      <c r="A30" s="4" t="inlineStr">
        <is>
          <t>NPSH Performance Parameter</t>
        </is>
      </c>
      <c r="B30" s="4" t="inlineStr">
        <is>
          <t>Calculated Value</t>
        </is>
      </c>
      <c r="C30" s="4" t="inlineStr">
        <is>
          <t>Units</t>
        </is>
      </c>
      <c r="D30" s="4" t="inlineStr">
        <is>
          <t>Governing NCEES Equation</t>
        </is>
      </c>
      <c r="E30" s="4" t="inlineStr">
        <is>
          <t>Cavitation Status</t>
        </is>
      </c>
    </row>
    <row r="31" ht="20" customHeight="1">
      <c r="A31" s="11" t="inlineStr">
        <is>
          <t>Net Positive Suction Head Available (NPSH_a)</t>
        </is>
      </c>
      <c r="B31" s="30">
        <f>B8 + B18 - B10 - B24</f>
        <v/>
      </c>
      <c r="C31" s="13" t="inlineStr">
        <is>
          <t>ft</t>
        </is>
      </c>
      <c r="D31" s="14" t="inlineStr">
        <is>
          <t>NPSHa = H_pa + zs - H_vp - sum h_L</t>
        </is>
      </c>
      <c r="E31" s="14" t="inlineStr">
        <is>
          <t>Available suction energy</t>
        </is>
      </c>
    </row>
    <row r="32" ht="20" customHeight="1">
      <c r="A32" s="11" t="inlineStr">
        <is>
          <t>Pump Manufacturer Required Head (NPSH_r)</t>
        </is>
      </c>
      <c r="B32" s="12" t="n">
        <v>12</v>
      </c>
      <c r="C32" s="13" t="inlineStr">
        <is>
          <t>ft</t>
        </is>
      </c>
      <c r="D32" s="14" t="inlineStr">
        <is>
          <t>NPSHr from pump performance curve at 450 gpm</t>
        </is>
      </c>
      <c r="E32" s="14" t="inlineStr">
        <is>
          <t>Minimum required energy</t>
        </is>
      </c>
    </row>
    <row r="33" ht="20" customHeight="1">
      <c r="A33" s="11" t="inlineStr">
        <is>
          <t>Cavitation Safety Margin (delta_NPSH)</t>
        </is>
      </c>
      <c r="B33" s="27">
        <f>B27 - B28</f>
        <v/>
      </c>
      <c r="C33" s="28" t="inlineStr">
        <is>
          <t>ft</t>
        </is>
      </c>
      <c r="D33" s="36" t="inlineStr">
        <is>
          <t>Margin = NPSHa - NPSHr (Recommend &gt;= 3.0 ft)</t>
        </is>
      </c>
      <c r="E33" s="29">
        <f>IF((B27-B28)&gt;=3.0, "PASS - AMPLE CAVITATION MARGIN", IF((B27-B28)&gt;=0.0, "WARNING - LOW MARGIN", "FAIL - SEVERE CAVITATION!"))</f>
        <v/>
      </c>
    </row>
    <row r="34" ht="20" customHeight="1">
      <c r="A34" s="11" t="inlineStr">
        <is>
          <t>NCEES Max Permissible Static Lift (H_s)</t>
        </is>
      </c>
      <c r="B34" s="27">
        <f>(B8 - B10) - B28 - B24</f>
        <v/>
      </c>
      <c r="C34" s="28" t="inlineStr">
        <is>
          <t>ft</t>
        </is>
      </c>
      <c r="D34" s="36" t="inlineStr">
        <is>
          <t>Hs = (H_pa - H_vp) - NPSHr - sum h_L</t>
        </is>
      </c>
      <c r="E34" s="29">
        <f>IF(ABS(B18)&lt;=B30, "PASS - LIFT WITHIN NCEES Hs LIMIT", "FAIL - EXCEEDS MAXIMUM LIFT!")</f>
        <v/>
      </c>
    </row>
  </sheetData>
  <mergeCells count="5">
    <mergeCell ref="A14:G14"/>
    <mergeCell ref="A1:G1"/>
    <mergeCell ref="A4:G4"/>
    <mergeCell ref="A2:G2"/>
    <mergeCell ref="A29:G2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9" customWidth="1" min="2" max="2"/>
    <col width="21" customWidth="1" min="3" max="3"/>
    <col width="64" customWidth="1" min="4" max="4"/>
    <col width="87" customWidth="1" min="5" max="5"/>
    <col width="12" customWidth="1" min="6" max="6"/>
    <col width="12" customWidth="1" min="7" max="7"/>
  </cols>
  <sheetData>
    <row r="1" ht="28" customHeight="1">
      <c r="A1" s="1" t="inlineStr">
        <is>
          <t>STORMWATER FACILITY SIZING &amp; NRCS TR-55 CURVE NUMBER LAB</t>
        </is>
      </c>
    </row>
    <row r="2" ht="18" customHeight="1">
      <c r="A2" s="2" t="inlineStr">
        <is>
          <t>Soil Groups A-D • Land Cover Composite CN • TR-55 Detention Ratio Vs/Vr • Drawdown Orifice &amp; Spillway (NCEES § 6.3.3)</t>
        </is>
      </c>
    </row>
    <row r="3" ht="10" customHeight="1"/>
    <row r="4" ht="24" customHeight="1">
      <c r="A4" s="3" t="inlineStr">
        <is>
          <t>1. WATERSHED LAND USE &amp; COMPOSITE CURVE NUMBER (CN)</t>
        </is>
      </c>
    </row>
    <row r="5" ht="22" customHeight="1">
      <c r="A5" s="4" t="inlineStr">
        <is>
          <t>Land Cover Category (HSG C)</t>
        </is>
      </c>
      <c r="B5" s="4" t="inlineStr">
        <is>
          <t>Curve Number (CN)</t>
        </is>
      </c>
      <c r="C5" s="4" t="inlineStr">
        <is>
          <t>Area Breakdown (%)</t>
        </is>
      </c>
      <c r="D5" s="4" t="inlineStr">
        <is>
          <t>Weighted Product (CN * %)</t>
        </is>
      </c>
      <c r="E5" s="4" t="inlineStr">
        <is>
          <t>Description</t>
        </is>
      </c>
    </row>
    <row r="6" ht="20" customHeight="1">
      <c r="A6" s="11" t="inlineStr">
        <is>
          <t>Impervious Pavements &amp; Roofs</t>
        </is>
      </c>
      <c r="B6" s="15" t="n">
        <v>98</v>
      </c>
      <c r="C6" s="13" t="inlineStr">
        <is>
          <t>60.0%</t>
        </is>
      </c>
      <c r="D6" s="56">
        <f>98 * 0.60</f>
        <v/>
      </c>
      <c r="E6" s="16" t="inlineStr">
        <is>
          <t>Roads, roofs, parking lots</t>
        </is>
      </c>
    </row>
    <row r="7" ht="20" customHeight="1">
      <c r="A7" s="11" t="inlineStr">
        <is>
          <t>Turf Grass / Open Lawns (Good condition)</t>
        </is>
      </c>
      <c r="B7" s="15" t="n">
        <v>74</v>
      </c>
      <c r="C7" s="13" t="inlineStr">
        <is>
          <t>40.0%</t>
        </is>
      </c>
      <c r="D7" s="56">
        <f>74 * 0.40</f>
        <v/>
      </c>
      <c r="E7" s="16" t="inlineStr">
        <is>
          <t>&gt;75% grass cover in HSG C</t>
        </is>
      </c>
    </row>
    <row r="8" ht="20" customHeight="1">
      <c r="A8" s="11" t="inlineStr">
        <is>
          <t>Woods / Forest Conservation Buffer</t>
        </is>
      </c>
      <c r="B8" s="15" t="n">
        <v>70</v>
      </c>
      <c r="C8" s="13" t="inlineStr">
        <is>
          <t>0.0%</t>
        </is>
      </c>
      <c r="D8" s="56">
        <f>70 * 0.00</f>
        <v/>
      </c>
      <c r="E8" s="16" t="inlineStr">
        <is>
          <t>Preserved tree canopy</t>
        </is>
      </c>
    </row>
    <row r="9" ht="20" customHeight="1">
      <c r="A9" s="11" t="inlineStr">
        <is>
          <t>Meadow / Non-Grazed Grass</t>
        </is>
      </c>
      <c r="B9" s="15" t="n">
        <v>71</v>
      </c>
      <c r="C9" s="13" t="inlineStr">
        <is>
          <t>0.0%</t>
        </is>
      </c>
      <c r="D9" s="56">
        <f>71 * 0.00</f>
        <v/>
      </c>
      <c r="E9" s="16" t="inlineStr">
        <is>
          <t>Continuous natural grass</t>
        </is>
      </c>
    </row>
    <row r="10" ht="20" customHeight="1">
      <c r="A10" s="23" t="inlineStr">
        <is>
          <t>COMPOSITE CURVE NUMBER (CN)</t>
        </is>
      </c>
      <c r="B10" s="68">
        <f>(B6*0.25 + B7*0.35 + B8*0.25 + B9*0.15)</f>
        <v/>
      </c>
      <c r="C10" s="54" t="inlineStr">
        <is>
          <t>100.0%</t>
        </is>
      </c>
      <c r="D10" s="69">
        <f>SUM(D6:D7)</f>
        <v/>
      </c>
      <c r="E10" s="68" t="inlineStr">
        <is>
          <t>CN_comp = Sum(CN_i * A_i) / Sum(A_i)</t>
        </is>
      </c>
    </row>
    <row r="12" ht="24" customHeight="1">
      <c r="A12" s="3" t="inlineStr">
        <is>
          <t>2. NRCS TR-55 DIRECT RUNOFF HYDROLOGY (P = 5.00 INCHES)</t>
        </is>
      </c>
    </row>
    <row r="13" ht="22" customHeight="1">
      <c r="A13" s="4" t="inlineStr">
        <is>
          <t>Hydrologic Parameter</t>
        </is>
      </c>
      <c r="B13" s="4" t="inlineStr">
        <is>
          <t>Design Value</t>
        </is>
      </c>
      <c r="C13" s="4" t="inlineStr">
        <is>
          <t>Units</t>
        </is>
      </c>
      <c r="D13" s="4" t="inlineStr">
        <is>
          <t>Governing TR-55 / NCEES Equation</t>
        </is>
      </c>
    </row>
    <row r="14" ht="20" customHeight="1">
      <c r="A14" s="11" t="inlineStr">
        <is>
          <t>Drainage Catchment Area (A)</t>
        </is>
      </c>
      <c r="B14" s="15" t="n">
        <v>20</v>
      </c>
      <c r="C14" s="13" t="inlineStr">
        <is>
          <t>acres</t>
        </is>
      </c>
      <c r="D14" s="16" t="inlineStr">
        <is>
          <t>Total watershed tributary area</t>
        </is>
      </c>
    </row>
    <row r="15" ht="20" customHeight="1">
      <c r="A15" s="11" t="inlineStr">
        <is>
          <t>24-Hour Design Rainfall Depth (P)</t>
        </is>
      </c>
      <c r="B15" s="12" t="n">
        <v>5</v>
      </c>
      <c r="C15" s="13" t="inlineStr">
        <is>
          <t>inches</t>
        </is>
      </c>
      <c r="D15" s="14" t="inlineStr">
        <is>
          <t>25-year 24-hour rainfall depth</t>
        </is>
      </c>
    </row>
    <row r="16" ht="20" customHeight="1">
      <c r="A16" s="11" t="inlineStr">
        <is>
          <t>Potential Maximum Soil Retention (S)</t>
        </is>
      </c>
      <c r="B16" s="37">
        <f>(1000 / D8) - 10</f>
        <v/>
      </c>
      <c r="C16" s="13" t="inlineStr">
        <is>
          <t>inches</t>
        </is>
      </c>
      <c r="D16" s="38" t="inlineStr">
        <is>
          <t>S = (1000 / CN) - 10</t>
        </is>
      </c>
    </row>
    <row r="17" ht="20" customHeight="1">
      <c r="A17" s="11" t="inlineStr">
        <is>
          <t>Initial Abstraction Depth (I_a)</t>
        </is>
      </c>
      <c r="B17" s="37">
        <f>0.2 * B13</f>
        <v/>
      </c>
      <c r="C17" s="13" t="inlineStr">
        <is>
          <t>inches</t>
        </is>
      </c>
      <c r="D17" s="38" t="inlineStr">
        <is>
          <t>I_a = 0.2 * S</t>
        </is>
      </c>
    </row>
    <row r="18" ht="20" customHeight="1">
      <c r="A18" s="11" t="inlineStr">
        <is>
          <t>Direct Runoff Depth (Q_depth)</t>
        </is>
      </c>
      <c r="B18" s="30">
        <f>IF(B12 &gt; B14, (B12 - 0.2*B13)^2 / (B12 + 0.8*B13), 0.0)</f>
        <v/>
      </c>
      <c r="C18" s="13" t="inlineStr">
        <is>
          <t>inches</t>
        </is>
      </c>
      <c r="D18" s="14" t="inlineStr">
        <is>
          <t>Q = (P - 0.2*S)² / (P + 0.8*S)</t>
        </is>
      </c>
    </row>
    <row r="19" ht="20" customHeight="1">
      <c r="A19" s="11" t="inlineStr">
        <is>
          <t>Total Runoff Volume (V_r)</t>
        </is>
      </c>
      <c r="B19" s="30">
        <f>(B15 / 12) * B11</f>
        <v/>
      </c>
      <c r="C19" s="13" t="inlineStr">
        <is>
          <t>acre-ft</t>
        </is>
      </c>
      <c r="D19" s="14" t="inlineStr">
        <is>
          <t>V_r = (Q / 12) * A</t>
        </is>
      </c>
    </row>
    <row r="20" ht="20" customHeight="1">
      <c r="A20" s="11" t="inlineStr">
        <is>
          <t>Runoff Volume in Cubic Feet</t>
        </is>
      </c>
      <c r="B20" s="22">
        <f>B16 * 43560</f>
        <v/>
      </c>
      <c r="C20" s="13" t="inlineStr">
        <is>
          <t>cu ft</t>
        </is>
      </c>
      <c r="D20" s="18" t="inlineStr">
        <is>
          <t>1 acre-ft = 43,560 cu ft</t>
        </is>
      </c>
    </row>
    <row r="21" ht="20" customHeight="1">
      <c r="A21" s="11" t="inlineStr">
        <is>
          <t>Runoff Volume in Gallons</t>
        </is>
      </c>
      <c r="B21" s="22">
        <f>B17 * 7.48052</f>
        <v/>
      </c>
      <c r="C21" s="13" t="inlineStr">
        <is>
          <t>gallons</t>
        </is>
      </c>
      <c r="D21" s="18" t="inlineStr">
        <is>
          <t>1 cu ft = 7.48 gallons</t>
        </is>
      </c>
    </row>
    <row r="23" ht="24" customHeight="1">
      <c r="A23" s="3" t="inlineStr">
        <is>
          <t>3. DETENTION STORAGE SIZING VIA TR-55 UNIT HYDROGRAPH RATIO</t>
        </is>
      </c>
    </row>
    <row r="24" ht="22" customHeight="1">
      <c r="A24" s="4" t="inlineStr">
        <is>
          <t>Hydrograph Attenuation Parameter</t>
        </is>
      </c>
      <c r="B24" s="4" t="inlineStr">
        <is>
          <t>Design Value</t>
        </is>
      </c>
      <c r="C24" s="4" t="inlineStr">
        <is>
          <t>Units</t>
        </is>
      </c>
      <c r="D24" s="4" t="inlineStr">
        <is>
          <t>TR-55 Polynomial Routing Formula</t>
        </is>
      </c>
    </row>
    <row r="25" ht="20" customHeight="1">
      <c r="A25" s="11" t="inlineStr">
        <is>
          <t>Post-Development Peak Inflow Rate (q_i)</t>
        </is>
      </c>
      <c r="B25" s="15" t="n">
        <v>62</v>
      </c>
      <c r="C25" s="13" t="inlineStr">
        <is>
          <t>cfs</t>
        </is>
      </c>
      <c r="D25" s="16" t="inlineStr">
        <is>
          <t>Peak unattenuated inflow to pond</t>
        </is>
      </c>
    </row>
    <row r="26" ht="20" customHeight="1">
      <c r="A26" s="11" t="inlineStr">
        <is>
          <t>Regulated Allowable Peak Outflow Rate (q_o)</t>
        </is>
      </c>
      <c r="B26" s="15" t="n">
        <v>24</v>
      </c>
      <c r="C26" s="13" t="inlineStr">
        <is>
          <t>cfs</t>
        </is>
      </c>
      <c r="D26" s="16" t="inlineStr">
        <is>
          <t>Pre-development target release limit</t>
        </is>
      </c>
    </row>
    <row r="27" ht="20" customHeight="1">
      <c r="A27" s="11" t="inlineStr">
        <is>
          <t>Peak Discharge Ratio (q_o / q_i)</t>
        </is>
      </c>
      <c r="B27" s="37">
        <f>B22 / B21</f>
        <v/>
      </c>
      <c r="C27" s="13" t="inlineStr">
        <is>
          <t>-</t>
        </is>
      </c>
      <c r="D27" s="38" t="inlineStr">
        <is>
          <t>Ratio = q_out / q_in</t>
        </is>
      </c>
    </row>
    <row r="28" ht="20" customHeight="1">
      <c r="A28" s="11" t="inlineStr">
        <is>
          <t>TR-55 Storage Volume Ratio (Vs / Vr)</t>
        </is>
      </c>
      <c r="B28" s="37">
        <f>0.682 - 1.43*B23 + 1.64*B23^2 - 0.804*B23^3</f>
        <v/>
      </c>
      <c r="C28" s="13" t="inlineStr">
        <is>
          <t>-</t>
        </is>
      </c>
      <c r="D28" s="38" t="inlineStr">
        <is>
          <t>Vs/Vr = 0.682 - 1.43*(qo/qi) + 1.64*(qo/qi)² - 0.804*(qo/qi)³</t>
        </is>
      </c>
    </row>
    <row r="29" ht="20" customHeight="1">
      <c r="A29" s="23" t="inlineStr">
        <is>
          <t>REQUIRED DETENTION STORAGE VOLUME (V_s)</t>
        </is>
      </c>
      <c r="B29" s="45">
        <f>B24 * B16</f>
        <v/>
      </c>
      <c r="C29" s="54" t="inlineStr">
        <is>
          <t>acre-ft</t>
        </is>
      </c>
      <c r="D29" s="44" t="inlineStr">
        <is>
          <t>V_s = (Vs / Vr) * V_r</t>
        </is>
      </c>
    </row>
    <row r="30" ht="20" customHeight="1">
      <c r="A30" s="11" t="inlineStr">
        <is>
          <t>Required Detention Volume in Cubic Feet</t>
        </is>
      </c>
      <c r="B30" s="22">
        <f>B25 * 43560</f>
        <v/>
      </c>
      <c r="C30" s="13" t="inlineStr">
        <is>
          <t>cu ft</t>
        </is>
      </c>
      <c r="D30" s="18" t="inlineStr">
        <is>
          <t>Target storage capacity required by ordinance</t>
        </is>
      </c>
    </row>
    <row r="32" ht="24" customHeight="1">
      <c r="A32" s="3" t="inlineStr">
        <is>
          <t>4. WATER QUALITY VOLUME (WQv) &amp; EXTENDED DETENTION DRAWDOWN</t>
        </is>
      </c>
    </row>
    <row r="33" ht="22" customHeight="1">
      <c r="A33" s="4" t="inlineStr">
        <is>
          <t>Water Quality Parameter</t>
        </is>
      </c>
      <c r="B33" s="4" t="inlineStr">
        <is>
          <t>Design Value</t>
        </is>
      </c>
      <c r="C33" s="4" t="inlineStr">
        <is>
          <t>Units</t>
        </is>
      </c>
      <c r="D33" s="4" t="inlineStr">
        <is>
          <t>Georgia / Ten-State Standards Formula</t>
        </is>
      </c>
    </row>
    <row r="34" ht="20" customHeight="1">
      <c r="A34" s="11" t="inlineStr">
        <is>
          <t>First-Flush Water Quality Rainfall (P_wq)</t>
        </is>
      </c>
      <c r="B34" s="12" t="n">
        <v>1</v>
      </c>
      <c r="C34" s="13" t="inlineStr">
        <is>
          <t>inches</t>
        </is>
      </c>
      <c r="D34" s="14" t="inlineStr">
        <is>
          <t>80% TSS removal storm depth</t>
        </is>
      </c>
    </row>
    <row r="35" ht="20" customHeight="1">
      <c r="A35" s="11" t="inlineStr">
        <is>
          <t>Volumetric Runoff Coefficient (R_v)</t>
        </is>
      </c>
      <c r="B35" s="37">
        <f>0.05 + 0.009 * 60.0</f>
        <v/>
      </c>
      <c r="C35" s="13" t="inlineStr">
        <is>
          <t>-</t>
        </is>
      </c>
      <c r="D35" s="38" t="inlineStr">
        <is>
          <t>R_v = 0.05 + 0.009 * (% Impervious)</t>
        </is>
      </c>
    </row>
    <row r="36" ht="20" customHeight="1">
      <c r="A36" s="11" t="inlineStr">
        <is>
          <t>Water Quality Volume (WQ_v)</t>
        </is>
      </c>
      <c r="B36" s="30">
        <f>(B29 * B30 * B11) / 12</f>
        <v/>
      </c>
      <c r="C36" s="13" t="inlineStr">
        <is>
          <t>acre-ft</t>
        </is>
      </c>
      <c r="D36" s="14" t="inlineStr">
        <is>
          <t>WQ_v = (P_wq * R_v * A) / 12</t>
        </is>
      </c>
    </row>
    <row r="37" ht="20" customHeight="1">
      <c r="A37" s="11" t="inlineStr">
        <is>
          <t>Target Orifice Drawdown Duration</t>
        </is>
      </c>
      <c r="B37" s="15" t="n">
        <v>48</v>
      </c>
      <c r="C37" s="13" t="inlineStr">
        <is>
          <t>hours</t>
        </is>
      </c>
      <c r="D37" s="16" t="inlineStr">
        <is>
          <t>Standard 24-72 hr extended detention drawdown</t>
        </is>
      </c>
    </row>
    <row r="38" ht="20" customHeight="1">
      <c r="A38" s="11" t="inlineStr">
        <is>
          <t>Water Quality Depth Head (h_wq)</t>
        </is>
      </c>
      <c r="B38" s="12" t="n">
        <v>3</v>
      </c>
      <c r="C38" s="13" t="inlineStr">
        <is>
          <t>ft</t>
        </is>
      </c>
      <c r="D38" s="14" t="inlineStr">
        <is>
          <t>Pool depth allocated for water quality</t>
        </is>
      </c>
    </row>
    <row r="39" ht="20" customHeight="1">
      <c r="A39" s="11" t="inlineStr">
        <is>
          <t>Required Orifice Area (A_o)</t>
        </is>
      </c>
      <c r="B39" s="19">
        <f>(2 * 9800 * SQRT(B33)) / (0.60 * (B32 * 3600) * SQRT(2 * 32.174))</f>
        <v/>
      </c>
      <c r="C39" s="13" t="inlineStr">
        <is>
          <t>sq ft</t>
        </is>
      </c>
      <c r="D39" s="21" t="inlineStr">
        <is>
          <t>A_o = 2*A_avg*sqrt(h) / [Cd * t_sec * sqrt(2g)]</t>
        </is>
      </c>
    </row>
    <row r="40" ht="20" customHeight="1">
      <c r="A40" s="23" t="inlineStr">
        <is>
          <t>REQUIRED DRAWDOWN ORIFICE DIAMETER (d_o)</t>
        </is>
      </c>
      <c r="B40" s="45">
        <f>SQRT(4 * B34 / PI()) * 12</f>
        <v/>
      </c>
      <c r="C40" s="54" t="inlineStr">
        <is>
          <t>inches</t>
        </is>
      </c>
      <c r="D40" s="44" t="inlineStr">
        <is>
          <t>Circular low-flow orifice plate diameter</t>
        </is>
      </c>
    </row>
    <row r="42" ht="24" customHeight="1">
      <c r="A42" s="3" t="inlineStr">
        <is>
          <t>5. PRISMOIDAL BASIN CAPACITY &amp; EMERGENCY SPILLWAY VERIFICATION</t>
        </is>
      </c>
    </row>
    <row r="43" ht="22" customHeight="1">
      <c r="A43" s="4" t="inlineStr">
        <is>
          <t>Basin Physical Sizing Parameter</t>
        </is>
      </c>
      <c r="B43" s="4" t="inlineStr">
        <is>
          <t>Design Value</t>
        </is>
      </c>
      <c r="C43" s="4" t="inlineStr">
        <is>
          <t>Units</t>
        </is>
      </c>
      <c r="D43" s="4" t="inlineStr">
        <is>
          <t>Governing Equation / Limit Check</t>
        </is>
      </c>
      <c r="E43" s="4" t="inlineStr">
        <is>
          <t>Status Check</t>
        </is>
      </c>
    </row>
    <row r="44" ht="20" customHeight="1">
      <c r="A44" s="11" t="inlineStr">
        <is>
          <t>Basin Bottom Dimensions</t>
        </is>
      </c>
      <c r="B44" s="13" t="inlineStr">
        <is>
          <t>180 ft × 80 ft</t>
        </is>
      </c>
      <c r="C44" s="13" t="inlineStr">
        <is>
          <t>-</t>
        </is>
      </c>
      <c r="D44" s="13" t="inlineStr">
        <is>
          <t>Rectangular excavation base</t>
        </is>
      </c>
      <c r="E44" s="13" t="inlineStr">
        <is>
          <t>-</t>
        </is>
      </c>
    </row>
    <row r="45" ht="20" customHeight="1">
      <c r="A45" s="11" t="inlineStr">
        <is>
          <t>Basin Embankment Interior Side Slope</t>
        </is>
      </c>
      <c r="B45" s="15" t="n">
        <v>4</v>
      </c>
      <c r="C45" s="13" t="inlineStr">
        <is>
          <t>H:1V</t>
        </is>
      </c>
      <c r="D45" s="16" t="inlineStr">
        <is>
          <t>4:1 gentle maintenance side slope</t>
        </is>
      </c>
      <c r="E45" s="16" t="inlineStr">
        <is>
          <t>-</t>
        </is>
      </c>
    </row>
    <row r="46" ht="20" customHeight="1">
      <c r="A46" s="11" t="inlineStr">
        <is>
          <t>Total Embankment Depth (H_total)</t>
        </is>
      </c>
      <c r="B46" s="12" t="n">
        <v>6</v>
      </c>
      <c r="C46" s="13" t="inlineStr">
        <is>
          <t>ft</t>
        </is>
      </c>
      <c r="D46" s="14" t="inlineStr">
        <is>
          <t>Bottom to top of berm</t>
        </is>
      </c>
      <c r="E46" s="14" t="inlineStr">
        <is>
          <t>-</t>
        </is>
      </c>
    </row>
    <row r="47" ht="20" customHeight="1">
      <c r="A47" s="11" t="inlineStr">
        <is>
          <t>Total Provided Basin Storage Capacity</t>
        </is>
      </c>
      <c r="B47" s="30" t="n">
        <v>4.25</v>
      </c>
      <c r="C47" s="13" t="inlineStr">
        <is>
          <t>acre-ft</t>
        </is>
      </c>
      <c r="D47" s="14" t="inlineStr">
        <is>
          <t>Prismoidal frustum volume at 6.0 ft depth</t>
        </is>
      </c>
      <c r="E47" s="14" t="inlineStr">
        <is>
          <t>-</t>
        </is>
      </c>
    </row>
    <row r="48" ht="20" customHeight="1">
      <c r="A48" s="11" t="inlineStr">
        <is>
          <t>Basin Storage Safety Factor</t>
        </is>
      </c>
      <c r="B48" s="27">
        <f>B40 / B25</f>
        <v/>
      </c>
      <c r="C48" s="28" t="inlineStr">
        <is>
          <t>-</t>
        </is>
      </c>
      <c r="D48" s="36" t="inlineStr">
        <is>
          <t>SF = V_provided / V_s,req (Target &gt;= 1.0)</t>
        </is>
      </c>
      <c r="E48" s="29">
        <f>IF((B40/B25)&gt;=1.0, "PASS - STORAGE CAPACITY SUFFICIENT", "FAIL - UNDERSIZED BASIN")</f>
        <v/>
      </c>
    </row>
    <row r="49" ht="20" customHeight="1">
      <c r="A49" s="11" t="inlineStr">
        <is>
          <t>Emergency Spillway Crest Length (L_w)</t>
        </is>
      </c>
      <c r="B49" s="15" t="n">
        <v>20</v>
      </c>
      <c r="C49" s="13" t="inlineStr">
        <is>
          <t>ft</t>
        </is>
      </c>
      <c r="D49" s="16" t="inlineStr">
        <is>
          <t>Broad-crested weir spillway crest</t>
        </is>
      </c>
      <c r="E49" s="16" t="inlineStr">
        <is>
          <t>-</t>
        </is>
      </c>
    </row>
    <row r="50" ht="20" customHeight="1">
      <c r="A50" s="11" t="inlineStr">
        <is>
          <t>Emergency Surcharge Head (H_w)</t>
        </is>
      </c>
      <c r="B50" s="30">
        <f>(B21 / (3.10 * B42))^(2/3)</f>
        <v/>
      </c>
      <c r="C50" s="13" t="inlineStr">
        <is>
          <t>ft</t>
        </is>
      </c>
      <c r="D50" s="14" t="inlineStr">
        <is>
          <t>H_w = [Q_in / (Cw * Lw)]^(2/3)</t>
        </is>
      </c>
      <c r="E50" s="14" t="inlineStr">
        <is>
          <t>-</t>
        </is>
      </c>
    </row>
    <row r="51" ht="20" customHeight="1">
      <c r="A51" s="11" t="inlineStr">
        <is>
          <t>Provided Embankment Freeboard</t>
        </is>
      </c>
      <c r="B51" s="27">
        <f>B39 - (4.50 + B43)</f>
        <v/>
      </c>
      <c r="C51" s="28" t="inlineStr">
        <is>
          <t>ft</t>
        </is>
      </c>
      <c r="D51" s="36" t="inlineStr">
        <is>
          <t>Freeboard = H_total - (DHW + H_w)</t>
        </is>
      </c>
      <c r="E51" s="29">
        <f>IF((B39-(4.50+B43))&gt;=1.0, "PASS - FREEBOARD &gt;= 1.0 FT", "FAIL - LOW FREEBOARD")</f>
        <v/>
      </c>
    </row>
  </sheetData>
  <mergeCells count="7">
    <mergeCell ref="A32:G32"/>
    <mergeCell ref="A1:G1"/>
    <mergeCell ref="A12:G12"/>
    <mergeCell ref="A4:G4"/>
    <mergeCell ref="A2:G2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2026-10-02T22:50:53Z</dcterms:created>
  <dcterms:modified xmlns:dcterms="http://purl.org/dc/terms/" xmlns:xsi="http://www.w3.org/2001/XMLSchema-instance" xsi:type="dcterms:W3CDTF">2026-10-02T23:37:08Z</dcterms:modified>
</cp:coreProperties>
</file>